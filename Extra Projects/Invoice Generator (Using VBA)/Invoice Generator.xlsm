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GitHub Project\Excel Projects\Excel Dashboard\Extra Projects\"/>
    </mc:Choice>
  </mc:AlternateContent>
  <xr:revisionPtr revIDLastSave="0" documentId="13_ncr:1_{D039CF9A-B45B-4533-9D5B-2FA09485899A}" xr6:coauthVersionLast="47" xr6:coauthVersionMax="47" xr10:uidLastSave="{00000000-0000-0000-0000-000000000000}"/>
  <bookViews>
    <workbookView xWindow="-120" yWindow="-120" windowWidth="20730" windowHeight="11160" xr2:uid="{D6F1ADD4-F1E7-4820-B7BB-ACD4F6C680EB}"/>
  </bookViews>
  <sheets>
    <sheet name="Invoice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1" l="1"/>
  <c r="F18" i="1"/>
  <c r="H18" i="1" s="1"/>
  <c r="F19" i="1"/>
  <c r="H19" i="1" s="1"/>
  <c r="F20" i="1"/>
  <c r="H20" i="1" s="1"/>
  <c r="F21" i="1"/>
  <c r="F22" i="1"/>
  <c r="F23" i="1"/>
  <c r="H23" i="1" s="1"/>
  <c r="F24" i="1"/>
  <c r="H24" i="1" s="1"/>
  <c r="F25" i="1"/>
  <c r="F26" i="1"/>
  <c r="F27" i="1"/>
  <c r="F28" i="1"/>
  <c r="H28" i="1" s="1"/>
  <c r="F29" i="1"/>
  <c r="F30" i="1"/>
  <c r="F31" i="1"/>
  <c r="F32" i="1"/>
  <c r="H32" i="1" s="1"/>
  <c r="F16" i="1"/>
  <c r="H16" i="1" s="1"/>
  <c r="H17" i="1"/>
  <c r="H21" i="1"/>
  <c r="H22" i="1"/>
  <c r="H25" i="1"/>
  <c r="H26" i="1"/>
  <c r="H27" i="1"/>
  <c r="H29" i="1"/>
  <c r="H30" i="1"/>
  <c r="H31" i="1"/>
  <c r="C41" i="1"/>
  <c r="C40" i="1"/>
  <c r="C16" i="1" a="1"/>
  <c r="C16" i="1" s="1"/>
  <c r="D10" i="1"/>
  <c r="D11" i="1" s="1"/>
  <c r="H33" i="1" l="1"/>
  <c r="H35" i="1" s="1"/>
  <c r="H36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<sst xmlns="http://schemas.openxmlformats.org/spreadsheetml/2006/main" count="41" uniqueCount="39">
  <si>
    <t>NoteNova Enterprises</t>
  </si>
  <si>
    <t>contact@notenovaenterprises.com</t>
  </si>
  <si>
    <t>98124 56789</t>
  </si>
  <si>
    <t>Shop No. 118, First Floor, Crown Market,
Lajpat Nagar II, New Delhi - 110024</t>
  </si>
  <si>
    <t>Client Information</t>
  </si>
  <si>
    <t>Name</t>
  </si>
  <si>
    <t>Address</t>
  </si>
  <si>
    <t>Email</t>
  </si>
  <si>
    <t>Phone</t>
  </si>
  <si>
    <t xml:space="preserve">Invoice Number: </t>
  </si>
  <si>
    <t xml:space="preserve">Date: </t>
  </si>
  <si>
    <t xml:space="preserve">Due Date: </t>
  </si>
  <si>
    <t>Item No.</t>
  </si>
  <si>
    <t>Description</t>
  </si>
  <si>
    <t>Quantity</t>
  </si>
  <si>
    <t>Unit Price</t>
  </si>
  <si>
    <t>Discount (%)</t>
  </si>
  <si>
    <t>Total</t>
  </si>
  <si>
    <t xml:space="preserve">Subtotal: </t>
  </si>
  <si>
    <t>Tax Rate</t>
  </si>
  <si>
    <t>Tax Amount</t>
  </si>
  <si>
    <t>Payment Terms:</t>
  </si>
  <si>
    <t>Notes:</t>
  </si>
  <si>
    <t>Thank you for your business!</t>
  </si>
  <si>
    <t>All payments are non-refundable unless otherwise stated.</t>
  </si>
  <si>
    <t>S.No.</t>
  </si>
  <si>
    <t>Unit Price (₹)</t>
  </si>
  <si>
    <t>Ball Pen</t>
  </si>
  <si>
    <t>Gel Pen</t>
  </si>
  <si>
    <t>Gold Pen</t>
  </si>
  <si>
    <t>Pencil HB</t>
  </si>
  <si>
    <t>Pencil 2B</t>
  </si>
  <si>
    <t>Graphite Pencil</t>
  </si>
  <si>
    <t>Eraser</t>
  </si>
  <si>
    <t>White Eraser</t>
  </si>
  <si>
    <t>Marble Eraser</t>
  </si>
  <si>
    <t>Sharpener</t>
  </si>
  <si>
    <t>ProductsTable</t>
  </si>
  <si>
    <t>INV-3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</si>
</sst>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Webdings"/>
      <family val="1"/>
      <charset val="2"/>
    </font>
    <font>
      <sz val="11"/>
      <color theme="1"/>
      <name val="Wingdings"/>
      <charset val="2"/>
    </font>
    <font>
      <b/>
      <sz val="10"/>
      <color theme="1"/>
      <name val="Lato black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147"/>
        <bgColor indexed="64"/>
      </patternFill>
    </fill>
    <fill>
      <patternFill patternType="solid">
        <fgColor theme="4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42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/>
    <xf numFmtId="164" fontId="0" fillId="3" borderId="1" xfId="0" applyNumberFormat="1" applyFill="1" applyBorder="1"/>
    <xf numFmtId="10" fontId="0" fillId="3" borderId="1" xfId="0" applyNumberFormat="1" applyFill="1" applyBorder="1"/>
    <xf numFmtId="0" fontId="5" fillId="0" borderId="0" xfId="0" applyFont="1"/>
    <xf numFmtId="0" fontId="6" fillId="0" borderId="0" xfId="0" applyFont="1"/>
    <xf numFmtId="0" fontId="4" fillId="0" borderId="0" xfId="0" applyFont="1"/>
    <xf numFmtId="0" fontId="3" fillId="0" borderId="0" xfId="0" applyFont="1"/>
    <xf numFmtId="164" fontId="0" fillId="0" borderId="0" xfId="0" applyNumberFormat="1"/>
    <xf numFmtId="10" fontId="0" fillId="0" borderId="0" xfId="0" applyNumberFormat="1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164" fontId="0" fillId="0" borderId="3" xfId="0" applyNumberFormat="1" applyBorder="1"/>
    <xf numFmtId="0" fontId="1" fillId="2" borderId="14" xfId="0" applyFont="1" applyFill="1" applyBorder="1" applyAlignment="1">
      <alignment horizontal="center"/>
    </xf>
    <xf numFmtId="0" fontId="0" fillId="0" borderId="12" xfId="0" applyBorder="1"/>
    <xf numFmtId="0" fontId="1" fillId="0" borderId="1" xfId="0" applyFont="1" applyBorder="1" applyAlignment="1">
      <alignment horizontal="right"/>
    </xf>
    <xf numFmtId="14" fontId="0" fillId="0" borderId="1" xfId="0" applyNumberFormat="1" applyBorder="1"/>
    <xf numFmtId="0" fontId="0" fillId="0" borderId="1" xfId="0" applyBorder="1" applyAlignment="1">
      <alignment horizontal="right"/>
    </xf>
    <xf numFmtId="0" fontId="4" fillId="0" borderId="0" xfId="0" applyFont="1" applyAlignment="1">
      <alignment horizontal="left" vertical="center" wrapText="1"/>
    </xf>
    <xf numFmtId="0" fontId="1" fillId="0" borderId="1" xfId="0" applyFont="1" applyBorder="1" applyAlignment="1">
      <alignment horizontal="center"/>
    </xf>
    <xf numFmtId="0" fontId="4" fillId="4" borderId="1" xfId="0" applyFont="1" applyFill="1" applyBorder="1" applyAlignment="1">
      <alignment horizontal="left"/>
    </xf>
    <xf numFmtId="0" fontId="7" fillId="5" borderId="0" xfId="0" applyFont="1" applyFill="1" applyAlignment="1">
      <alignment horizontal="center"/>
    </xf>
    <xf numFmtId="0" fontId="0" fillId="0" borderId="1" xfId="0" applyBorder="1" applyAlignment="1">
      <alignment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14" xfId="0" applyBorder="1" applyAlignment="1">
      <alignment vertical="center"/>
    </xf>
    <xf numFmtId="164" fontId="0" fillId="0" borderId="15" xfId="0" applyNumberFormat="1" applyBorder="1" applyAlignment="1">
      <alignment vertical="center"/>
    </xf>
    <xf numFmtId="0" fontId="0" fillId="0" borderId="0" xfId="0" applyFill="1" applyBorder="1"/>
    <xf numFmtId="0" fontId="8" fillId="0" borderId="0" xfId="1"/>
    <xf numFmtId="0" fontId="2" fillId="6" borderId="13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0" fillId="6" borderId="19" xfId="0" applyFill="1" applyBorder="1"/>
  </cellXfs>
  <cellStyles count="2">
    <cellStyle name="Hyperlink" xfId="1" builtinId="8"/>
    <cellStyle name="Normal" xfId="0" builtinId="0"/>
  </cellStyles>
  <dxfs count="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₹&quot;\ 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669BBC"/>
      <color rgb="FFFF91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838200</xdr:colOff>
      <xdr:row>1</xdr:row>
      <xdr:rowOff>38100</xdr:rowOff>
    </xdr:from>
    <xdr:to>
      <xdr:col>8</xdr:col>
      <xdr:colOff>38100</xdr:colOff>
      <xdr:row>6</xdr:row>
      <xdr:rowOff>123825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E96476D-F940-C6E8-1EF4-5E728BAC7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1075" y="238125"/>
          <a:ext cx="1638300" cy="12573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0</xdr:row>
      <xdr:rowOff>190500</xdr:rowOff>
    </xdr:from>
    <xdr:to>
      <xdr:col>13</xdr:col>
      <xdr:colOff>0</xdr:colOff>
      <xdr:row>2</xdr:row>
      <xdr:rowOff>133350</xdr:rowOff>
    </xdr:to>
    <xdr:sp macro="[0]!AddNew_and_ClearInfo" textlink="">
      <xdr:nvSpPr>
        <xdr:cNvPr id="5" name="Rectangle 4">
          <a:extLst>
            <a:ext uri="{FF2B5EF4-FFF2-40B4-BE49-F238E27FC236}">
              <a16:creationId xmlns:a16="http://schemas.microsoft.com/office/drawing/2014/main" id="{74CDB998-C5E9-7D36-3357-D1781733A19E}"/>
            </a:ext>
          </a:extLst>
        </xdr:cNvPr>
        <xdr:cNvSpPr/>
      </xdr:nvSpPr>
      <xdr:spPr>
        <a:xfrm>
          <a:off x="7124700" y="190500"/>
          <a:ext cx="1800225" cy="381000"/>
        </a:xfrm>
        <a:prstGeom prst="rect">
          <a:avLst/>
        </a:prstGeom>
        <a:gradFill flip="none" rotWithShape="1">
          <a:gsLst>
            <a:gs pos="0">
              <a:srgbClr val="669BBC">
                <a:tint val="66000"/>
                <a:satMod val="160000"/>
              </a:srgbClr>
            </a:gs>
            <a:gs pos="50000">
              <a:srgbClr val="669BBC">
                <a:tint val="44500"/>
                <a:satMod val="160000"/>
              </a:srgbClr>
            </a:gs>
            <a:gs pos="100000">
              <a:srgbClr val="669BBC">
                <a:tint val="23500"/>
                <a:satMod val="160000"/>
              </a:srgbClr>
            </a:gs>
          </a:gsLst>
          <a:path path="circle">
            <a:fillToRect r="100000" b="100000"/>
          </a:path>
          <a:tileRect l="-100000" t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>
                  <a:lumMod val="95000"/>
                  <a:lumOff val="5000"/>
                </a:schemeClr>
              </a:solidFill>
            </a:rPr>
            <a:t>Add New</a:t>
          </a:r>
        </a:p>
      </xdr:txBody>
    </xdr:sp>
    <xdr:clientData/>
  </xdr:twoCellAnchor>
  <xdr:twoCellAnchor>
    <xdr:from>
      <xdr:col>10</xdr:col>
      <xdr:colOff>28575</xdr:colOff>
      <xdr:row>2</xdr:row>
      <xdr:rowOff>209550</xdr:rowOff>
    </xdr:from>
    <xdr:to>
      <xdr:col>13</xdr:col>
      <xdr:colOff>0</xdr:colOff>
      <xdr:row>4</xdr:row>
      <xdr:rowOff>38100</xdr:rowOff>
    </xdr:to>
    <xdr:sp macro="[0]!ExportAsPDF" textlink="">
      <xdr:nvSpPr>
        <xdr:cNvPr id="6" name="Rectangle 5">
          <a:extLst>
            <a:ext uri="{FF2B5EF4-FFF2-40B4-BE49-F238E27FC236}">
              <a16:creationId xmlns:a16="http://schemas.microsoft.com/office/drawing/2014/main" id="{315B0592-F2C8-7CD3-C808-28BA362DBCC7}"/>
            </a:ext>
          </a:extLst>
        </xdr:cNvPr>
        <xdr:cNvSpPr/>
      </xdr:nvSpPr>
      <xdr:spPr>
        <a:xfrm>
          <a:off x="7124700" y="647700"/>
          <a:ext cx="1800225" cy="381000"/>
        </a:xfrm>
        <a:prstGeom prst="rect">
          <a:avLst/>
        </a:prstGeom>
        <a:gradFill flip="none" rotWithShape="1">
          <a:gsLst>
            <a:gs pos="0">
              <a:srgbClr val="669BBC">
                <a:tint val="66000"/>
                <a:satMod val="160000"/>
              </a:srgbClr>
            </a:gs>
            <a:gs pos="50000">
              <a:srgbClr val="669BBC">
                <a:tint val="44500"/>
                <a:satMod val="160000"/>
              </a:srgbClr>
            </a:gs>
            <a:gs pos="100000">
              <a:srgbClr val="669BBC">
                <a:tint val="23500"/>
                <a:satMod val="160000"/>
              </a:srgbClr>
            </a:gs>
          </a:gsLst>
          <a:path path="circle">
            <a:fillToRect r="100000" b="100000"/>
          </a:path>
          <a:tileRect l="-100000" t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 b="1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rPr>
            <a:t>Export Invoice as PDF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1CA27F4-EA00-4066-8BE9-6A86E489BE25}" name="ProductsTable" displayName="ProductsTable" ref="B3:D13" totalsRowShown="0" headerRowDxfId="2" headerRowBorderDxfId="7" tableBorderDxfId="8" totalsRowBorderDxfId="6">
  <autoFilter ref="B3:D13" xr:uid="{81CA27F4-EA00-4066-8BE9-6A86E489BE25}"/>
  <tableColumns count="3">
    <tableColumn id="1" xr3:uid="{DF8DC932-B314-46A0-B4EE-B5A5D023998A}" name="S.No." dataDxfId="5"/>
    <tableColumn id="2" xr3:uid="{E478F382-05A0-44FD-8920-6666CADFFA9D}" name="Description" dataDxfId="4"/>
    <tableColumn id="3" xr3:uid="{8F31BCE4-EA6D-4A4B-AA89-5DF36C658048}" name="Unit Price (₹)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76C94-E87F-4E86-A466-AA8A13AFBBB0}">
  <sheetPr codeName="Sheet1">
    <pageSetUpPr fitToPage="1"/>
  </sheetPr>
  <dimension ref="B1:L47"/>
  <sheetViews>
    <sheetView tabSelected="1" topLeftCell="A21" workbookViewId="0">
      <selection activeCell="D37" sqref="D37"/>
    </sheetView>
  </sheetViews>
  <sheetFormatPr defaultRowHeight="15" x14ac:dyDescent="0.25"/>
  <cols>
    <col min="1" max="1" width="0.7109375" customWidth="1"/>
    <col min="2" max="2" width="0.85546875" customWidth="1"/>
    <col min="3" max="3" width="15.85546875" customWidth="1"/>
    <col min="4" max="4" width="23" customWidth="1"/>
    <col min="6" max="6" width="12.5703125" customWidth="1"/>
    <col min="7" max="7" width="13.85546875" customWidth="1"/>
    <col min="8" max="8" width="22.7109375" customWidth="1"/>
    <col min="9" max="9" width="1.140625" customWidth="1"/>
  </cols>
  <sheetData>
    <row r="1" spans="2:9" ht="15.75" thickBot="1" x14ac:dyDescent="0.3"/>
    <row r="2" spans="2:9" ht="18.75" x14ac:dyDescent="0.25">
      <c r="B2" s="41"/>
      <c r="C2" s="39" t="s">
        <v>0</v>
      </c>
      <c r="D2" s="40"/>
      <c r="E2" s="40"/>
      <c r="F2" s="40"/>
      <c r="G2" s="15"/>
      <c r="H2" s="15"/>
      <c r="I2" s="16"/>
    </row>
    <row r="3" spans="2:9" ht="28.5" customHeight="1" x14ac:dyDescent="0.25">
      <c r="B3" s="18"/>
      <c r="C3" s="27" t="s">
        <v>3</v>
      </c>
      <c r="D3" s="27"/>
      <c r="I3" s="17"/>
    </row>
    <row r="4" spans="2:9" x14ac:dyDescent="0.25">
      <c r="B4" s="18"/>
      <c r="C4" s="7" t="s">
        <v>1</v>
      </c>
      <c r="I4" s="17"/>
    </row>
    <row r="5" spans="2:9" x14ac:dyDescent="0.25">
      <c r="B5" s="18"/>
      <c r="C5" s="7" t="s">
        <v>2</v>
      </c>
      <c r="I5" s="17"/>
    </row>
    <row r="6" spans="2:9" x14ac:dyDescent="0.25">
      <c r="B6" s="18"/>
      <c r="I6" s="17"/>
    </row>
    <row r="7" spans="2:9" x14ac:dyDescent="0.25">
      <c r="B7" s="18"/>
      <c r="I7" s="17"/>
    </row>
    <row r="8" spans="2:9" x14ac:dyDescent="0.25">
      <c r="B8" s="18"/>
      <c r="G8" s="28" t="s">
        <v>4</v>
      </c>
      <c r="H8" s="28"/>
      <c r="I8" s="17"/>
    </row>
    <row r="9" spans="2:9" x14ac:dyDescent="0.25">
      <c r="B9" s="18"/>
      <c r="C9" s="24" t="s">
        <v>9</v>
      </c>
      <c r="D9" s="26" t="s">
        <v>38</v>
      </c>
      <c r="G9" s="7" t="s">
        <v>5</v>
      </c>
      <c r="H9" s="8"/>
      <c r="I9" s="17"/>
    </row>
    <row r="10" spans="2:9" x14ac:dyDescent="0.25">
      <c r="B10" s="18"/>
      <c r="C10" s="24" t="s">
        <v>10</v>
      </c>
      <c r="D10" s="25">
        <f ca="1">TODAY()</f>
        <v>45869</v>
      </c>
      <c r="G10" s="7" t="s">
        <v>6</v>
      </c>
      <c r="H10" s="8"/>
      <c r="I10" s="17"/>
    </row>
    <row r="11" spans="2:9" x14ac:dyDescent="0.25">
      <c r="B11" s="18"/>
      <c r="C11" s="24" t="s">
        <v>11</v>
      </c>
      <c r="D11" s="25">
        <f ca="1">EDATE(D10,1)</f>
        <v>45900</v>
      </c>
      <c r="G11" s="7" t="s">
        <v>7</v>
      </c>
      <c r="H11" s="38"/>
      <c r="I11" s="17"/>
    </row>
    <row r="12" spans="2:9" x14ac:dyDescent="0.25">
      <c r="B12" s="18"/>
      <c r="G12" s="7" t="s">
        <v>8</v>
      </c>
      <c r="H12" s="8"/>
      <c r="I12" s="17"/>
    </row>
    <row r="13" spans="2:9" x14ac:dyDescent="0.25">
      <c r="B13" s="18"/>
      <c r="I13" s="17"/>
    </row>
    <row r="14" spans="2:9" x14ac:dyDescent="0.25">
      <c r="B14" s="18"/>
      <c r="I14" s="17"/>
    </row>
    <row r="15" spans="2:9" x14ac:dyDescent="0.25">
      <c r="B15" s="23"/>
      <c r="C15" s="22" t="s">
        <v>12</v>
      </c>
      <c r="D15" s="1" t="s">
        <v>13</v>
      </c>
      <c r="E15" s="1" t="s">
        <v>14</v>
      </c>
      <c r="F15" s="1" t="s">
        <v>15</v>
      </c>
      <c r="G15" s="1" t="s">
        <v>16</v>
      </c>
      <c r="H15" s="1" t="s">
        <v>17</v>
      </c>
      <c r="I15" s="17"/>
    </row>
    <row r="16" spans="2:9" x14ac:dyDescent="0.25">
      <c r="B16" s="18"/>
      <c r="C16" t="str" cm="1">
        <f t="array" ref="C16">IFERROR(_xlfn.SEQUENCE(COUNTA(D16:D32)),"")</f>
        <v/>
      </c>
      <c r="F16" s="9" t="str">
        <f>_xlfn.XLOOKUP(D16,ProductsTable[Description],ProductsTable[Unit Price (₹)],"")</f>
        <v/>
      </c>
      <c r="G16" s="10"/>
      <c r="H16" s="21" t="str">
        <f>IFERROR(IF(E16*F16*(1-G16)=0,"",E16*F16*(1-G16)),"")</f>
        <v/>
      </c>
      <c r="I16" s="17"/>
    </row>
    <row r="17" spans="2:12" x14ac:dyDescent="0.25">
      <c r="B17" s="18"/>
      <c r="F17" s="9" t="str">
        <f>_xlfn.XLOOKUP(D17,ProductsTable[Description],ProductsTable[Unit Price (₹)],"")</f>
        <v/>
      </c>
      <c r="G17" s="10"/>
      <c r="H17" s="9" t="str">
        <f t="shared" ref="H17:H32" si="0">IFERROR(IF(E17*F17*(1-G17)=0,"",E17*F17*(1-G17)),"")</f>
        <v/>
      </c>
      <c r="I17" s="17"/>
    </row>
    <row r="18" spans="2:12" x14ac:dyDescent="0.25">
      <c r="B18" s="18"/>
      <c r="D18" s="37"/>
      <c r="F18" s="9" t="str">
        <f>_xlfn.XLOOKUP(D18,ProductsTable[Description],ProductsTable[Unit Price (₹)],"")</f>
        <v/>
      </c>
      <c r="G18" s="10"/>
      <c r="H18" s="9" t="str">
        <f t="shared" si="0"/>
        <v/>
      </c>
      <c r="I18" s="17"/>
    </row>
    <row r="19" spans="2:12" x14ac:dyDescent="0.25">
      <c r="B19" s="18"/>
      <c r="D19" s="37"/>
      <c r="E19" s="37"/>
      <c r="F19" s="9" t="str">
        <f>_xlfn.XLOOKUP(D19,ProductsTable[Description],ProductsTable[Unit Price (₹)],"")</f>
        <v/>
      </c>
      <c r="G19" s="10"/>
      <c r="H19" s="9" t="str">
        <f t="shared" si="0"/>
        <v/>
      </c>
      <c r="I19" s="17"/>
    </row>
    <row r="20" spans="2:12" x14ac:dyDescent="0.25">
      <c r="B20" s="18"/>
      <c r="D20" s="37"/>
      <c r="E20" s="37"/>
      <c r="F20" s="9" t="str">
        <f>_xlfn.XLOOKUP(D20,ProductsTable[Description],ProductsTable[Unit Price (₹)],"")</f>
        <v/>
      </c>
      <c r="G20" s="10"/>
      <c r="H20" s="9" t="str">
        <f t="shared" si="0"/>
        <v/>
      </c>
      <c r="I20" s="17"/>
    </row>
    <row r="21" spans="2:12" x14ac:dyDescent="0.25">
      <c r="B21" s="18"/>
      <c r="F21" s="9" t="str">
        <f>_xlfn.XLOOKUP(D21,ProductsTable[Description],ProductsTable[Unit Price (₹)],"")</f>
        <v/>
      </c>
      <c r="G21" s="10"/>
      <c r="H21" s="9" t="str">
        <f t="shared" si="0"/>
        <v/>
      </c>
      <c r="I21" s="17"/>
    </row>
    <row r="22" spans="2:12" x14ac:dyDescent="0.25">
      <c r="B22" s="18"/>
      <c r="F22" s="9" t="str">
        <f>_xlfn.XLOOKUP(D22,ProductsTable[Description],ProductsTable[Unit Price (₹)],"")</f>
        <v/>
      </c>
      <c r="G22" s="10"/>
      <c r="H22" s="9" t="str">
        <f t="shared" si="0"/>
        <v/>
      </c>
      <c r="I22" s="17"/>
    </row>
    <row r="23" spans="2:12" x14ac:dyDescent="0.25">
      <c r="B23" s="18"/>
      <c r="F23" s="9" t="str">
        <f>_xlfn.XLOOKUP(D23,ProductsTable[Description],ProductsTable[Unit Price (₹)],"")</f>
        <v/>
      </c>
      <c r="G23" s="10"/>
      <c r="H23" s="9" t="str">
        <f t="shared" si="0"/>
        <v/>
      </c>
      <c r="I23" s="17"/>
    </row>
    <row r="24" spans="2:12" x14ac:dyDescent="0.25">
      <c r="B24" s="18"/>
      <c r="F24" s="9" t="str">
        <f>_xlfn.XLOOKUP(D24,ProductsTable[Description],ProductsTable[Unit Price (₹)],"")</f>
        <v/>
      </c>
      <c r="G24" s="10"/>
      <c r="H24" s="9" t="str">
        <f t="shared" si="0"/>
        <v/>
      </c>
      <c r="I24" s="17"/>
    </row>
    <row r="25" spans="2:12" x14ac:dyDescent="0.25">
      <c r="B25" s="18"/>
      <c r="F25" s="9" t="str">
        <f>_xlfn.XLOOKUP(D25,ProductsTable[Description],ProductsTable[Unit Price (₹)],"")</f>
        <v/>
      </c>
      <c r="G25" s="10"/>
      <c r="H25" s="9" t="str">
        <f t="shared" si="0"/>
        <v/>
      </c>
      <c r="I25" s="17"/>
    </row>
    <row r="26" spans="2:12" x14ac:dyDescent="0.25">
      <c r="B26" s="18"/>
      <c r="F26" s="9" t="str">
        <f>_xlfn.XLOOKUP(D26,ProductsTable[Description],ProductsTable[Unit Price (₹)],"")</f>
        <v/>
      </c>
      <c r="G26" s="10"/>
      <c r="H26" s="9" t="str">
        <f t="shared" si="0"/>
        <v/>
      </c>
      <c r="I26" s="17"/>
    </row>
    <row r="27" spans="2:12" ht="15.75" x14ac:dyDescent="0.3">
      <c r="B27" s="18"/>
      <c r="F27" s="9" t="str">
        <f>_xlfn.XLOOKUP(D27,ProductsTable[Description],ProductsTable[Unit Price (₹)],"")</f>
        <v/>
      </c>
      <c r="G27" s="10"/>
      <c r="H27" s="9" t="str">
        <f t="shared" si="0"/>
        <v/>
      </c>
      <c r="I27" s="17"/>
      <c r="L27" s="5"/>
    </row>
    <row r="28" spans="2:12" x14ac:dyDescent="0.25">
      <c r="B28" s="18"/>
      <c r="F28" s="9" t="str">
        <f>_xlfn.XLOOKUP(D28,ProductsTable[Description],ProductsTable[Unit Price (₹)],"")</f>
        <v/>
      </c>
      <c r="G28" s="10"/>
      <c r="H28" s="9" t="str">
        <f t="shared" si="0"/>
        <v/>
      </c>
      <c r="I28" s="17"/>
    </row>
    <row r="29" spans="2:12" x14ac:dyDescent="0.25">
      <c r="B29" s="18"/>
      <c r="F29" s="9" t="str">
        <f>_xlfn.XLOOKUP(D29,ProductsTable[Description],ProductsTable[Unit Price (₹)],"")</f>
        <v/>
      </c>
      <c r="G29" s="10"/>
      <c r="H29" s="9" t="str">
        <f t="shared" si="0"/>
        <v/>
      </c>
      <c r="I29" s="17"/>
    </row>
    <row r="30" spans="2:12" x14ac:dyDescent="0.25">
      <c r="B30" s="18"/>
      <c r="F30" s="9" t="str">
        <f>_xlfn.XLOOKUP(D30,ProductsTable[Description],ProductsTable[Unit Price (₹)],"")</f>
        <v/>
      </c>
      <c r="G30" s="10"/>
      <c r="H30" s="9" t="str">
        <f t="shared" si="0"/>
        <v/>
      </c>
      <c r="I30" s="17"/>
      <c r="L30" s="6"/>
    </row>
    <row r="31" spans="2:12" x14ac:dyDescent="0.25">
      <c r="B31" s="18"/>
      <c r="F31" s="9" t="str">
        <f>_xlfn.XLOOKUP(D31,ProductsTable[Description],ProductsTable[Unit Price (₹)],"")</f>
        <v/>
      </c>
      <c r="G31" s="10"/>
      <c r="H31" s="9" t="str">
        <f t="shared" si="0"/>
        <v/>
      </c>
      <c r="I31" s="17"/>
    </row>
    <row r="32" spans="2:12" x14ac:dyDescent="0.25">
      <c r="B32" s="18"/>
      <c r="F32" s="9" t="str">
        <f>_xlfn.XLOOKUP(D32,ProductsTable[Description],ProductsTable[Unit Price (₹)],"")</f>
        <v/>
      </c>
      <c r="G32" s="10"/>
      <c r="H32" s="9" t="str">
        <f t="shared" si="0"/>
        <v/>
      </c>
      <c r="I32" s="17"/>
    </row>
    <row r="33" spans="2:9" x14ac:dyDescent="0.25">
      <c r="B33" s="18"/>
      <c r="C33" s="12"/>
      <c r="D33" s="12"/>
      <c r="E33" s="12"/>
      <c r="F33" s="13"/>
      <c r="G33" s="2" t="s">
        <v>18</v>
      </c>
      <c r="H33" s="3">
        <f>SUM(H16:H32)</f>
        <v>0</v>
      </c>
      <c r="I33" s="17"/>
    </row>
    <row r="34" spans="2:9" x14ac:dyDescent="0.25">
      <c r="B34" s="18"/>
      <c r="G34" s="2" t="s">
        <v>19</v>
      </c>
      <c r="H34" s="4">
        <v>0.08</v>
      </c>
      <c r="I34" s="17"/>
    </row>
    <row r="35" spans="2:9" x14ac:dyDescent="0.25">
      <c r="B35" s="18"/>
      <c r="G35" s="2" t="s">
        <v>20</v>
      </c>
      <c r="H35" s="3">
        <f>H33*H34</f>
        <v>0</v>
      </c>
      <c r="I35" s="17"/>
    </row>
    <row r="36" spans="2:9" x14ac:dyDescent="0.25">
      <c r="B36" s="18"/>
      <c r="G36" s="2" t="s">
        <v>17</v>
      </c>
      <c r="H36" s="3">
        <f>H33+H35</f>
        <v>0</v>
      </c>
      <c r="I36" s="17"/>
    </row>
    <row r="37" spans="2:9" x14ac:dyDescent="0.25">
      <c r="B37" s="18"/>
      <c r="I37" s="17"/>
    </row>
    <row r="38" spans="2:9" x14ac:dyDescent="0.25">
      <c r="B38" s="18"/>
      <c r="I38" s="17"/>
    </row>
    <row r="39" spans="2:9" x14ac:dyDescent="0.25">
      <c r="B39" s="18"/>
      <c r="C39" s="11" t="s">
        <v>21</v>
      </c>
      <c r="I39" s="17"/>
    </row>
    <row r="40" spans="2:9" x14ac:dyDescent="0.25">
      <c r="B40" s="18"/>
      <c r="C40" t="str">
        <f>_xlfn.UNICHAR(9210)&amp;" Payment Due in 30 days"</f>
        <v>⏺ Payment Due in 30 days</v>
      </c>
      <c r="I40" s="17"/>
    </row>
    <row r="41" spans="2:9" x14ac:dyDescent="0.25">
      <c r="B41" s="18"/>
      <c r="C41" t="str">
        <f>_xlfn.UNICHAR(9210)&amp;" Payment should be done to bank account No. 2422523525425"</f>
        <v>⏺ Payment should be done to bank account No. 2422523525425</v>
      </c>
      <c r="I41" s="17"/>
    </row>
    <row r="42" spans="2:9" x14ac:dyDescent="0.25">
      <c r="B42" s="18"/>
      <c r="I42" s="17"/>
    </row>
    <row r="43" spans="2:9" x14ac:dyDescent="0.25">
      <c r="B43" s="18"/>
      <c r="C43" s="11" t="s">
        <v>22</v>
      </c>
      <c r="I43" s="17"/>
    </row>
    <row r="44" spans="2:9" x14ac:dyDescent="0.25">
      <c r="B44" s="18"/>
      <c r="C44" s="29" t="s">
        <v>23</v>
      </c>
      <c r="D44" s="29"/>
      <c r="I44" s="17"/>
    </row>
    <row r="45" spans="2:9" x14ac:dyDescent="0.25">
      <c r="B45" s="18"/>
      <c r="I45" s="17"/>
    </row>
    <row r="46" spans="2:9" ht="16.5" x14ac:dyDescent="0.35">
      <c r="B46" s="18"/>
      <c r="C46" s="30" t="s">
        <v>24</v>
      </c>
      <c r="D46" s="30"/>
      <c r="E46" s="30"/>
      <c r="F46" s="30"/>
      <c r="G46" s="30"/>
      <c r="H46" s="30"/>
      <c r="I46" s="17"/>
    </row>
    <row r="47" spans="2:9" ht="15.75" thickBot="1" x14ac:dyDescent="0.3">
      <c r="B47" s="19"/>
      <c r="C47" s="14"/>
      <c r="D47" s="14"/>
      <c r="E47" s="14"/>
      <c r="F47" s="14"/>
      <c r="G47" s="14"/>
      <c r="H47" s="14"/>
      <c r="I47" s="20"/>
    </row>
  </sheetData>
  <mergeCells count="5">
    <mergeCell ref="C2:F2"/>
    <mergeCell ref="C3:D3"/>
    <mergeCell ref="G8:H8"/>
    <mergeCell ref="C44:D44"/>
    <mergeCell ref="C46:H46"/>
  </mergeCells>
  <conditionalFormatting sqref="C16:H32">
    <cfRule type="expression" dxfId="0" priority="1">
      <formula>$C16&lt;&gt;0</formula>
    </cfRule>
  </conditionalFormatting>
  <dataValidations count="2">
    <dataValidation type="list" allowBlank="1" showInputMessage="1" showErrorMessage="1" sqref="G16:G32" xr:uid="{8B702CAD-701C-4136-8E3F-9335E76DDAD4}">
      <formula1>"0, 0.05, 0.1,0.15,0.2"</formula1>
    </dataValidation>
    <dataValidation type="list" allowBlank="1" showInputMessage="1" showErrorMessage="1" sqref="D16:D32" xr:uid="{F80B99D4-B5A2-4519-B4ED-06B6E3C0618C}">
      <formula1>"Ball Pen,Gel Pen,Gold Pen,Pencil HB,Pencil 2B,Graphite Pencil,Eraser,White Eraser,Marble Eraser,Sharpener,Ball Pen"</formula1>
    </dataValidation>
  </dataValidations>
  <pageMargins left="0.7" right="0.7" top="0.75" bottom="0.75" header="0.3" footer="0.3"/>
  <pageSetup scale="62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7F0FE-6F02-456B-83DF-495B0A84D194}">
  <sheetPr codeName="Sheet2"/>
  <dimension ref="B2:D13"/>
  <sheetViews>
    <sheetView workbookViewId="0">
      <selection activeCell="D7" sqref="D7"/>
    </sheetView>
  </sheetViews>
  <sheetFormatPr defaultRowHeight="15" x14ac:dyDescent="0.25"/>
  <cols>
    <col min="2" max="2" width="10.5703125" customWidth="1"/>
    <col min="3" max="3" width="20.5703125" bestFit="1" customWidth="1"/>
    <col min="4" max="4" width="17.5703125" customWidth="1"/>
  </cols>
  <sheetData>
    <row r="2" spans="2:4" x14ac:dyDescent="0.25">
      <c r="B2" s="11" t="s">
        <v>37</v>
      </c>
    </row>
    <row r="3" spans="2:4" x14ac:dyDescent="0.25">
      <c r="B3" s="32" t="s">
        <v>25</v>
      </c>
      <c r="C3" s="33" t="s">
        <v>13</v>
      </c>
      <c r="D3" s="34" t="s">
        <v>26</v>
      </c>
    </row>
    <row r="4" spans="2:4" x14ac:dyDescent="0.25">
      <c r="B4" s="35">
        <v>1</v>
      </c>
      <c r="C4" s="31" t="s">
        <v>27</v>
      </c>
      <c r="D4" s="36">
        <v>12</v>
      </c>
    </row>
    <row r="5" spans="2:4" x14ac:dyDescent="0.25">
      <c r="B5" s="35">
        <v>2</v>
      </c>
      <c r="C5" s="31" t="s">
        <v>28</v>
      </c>
      <c r="D5" s="36">
        <v>25</v>
      </c>
    </row>
    <row r="6" spans="2:4" x14ac:dyDescent="0.25">
      <c r="B6" s="35">
        <v>3</v>
      </c>
      <c r="C6" s="31" t="s">
        <v>29</v>
      </c>
      <c r="D6" s="36">
        <v>12000</v>
      </c>
    </row>
    <row r="7" spans="2:4" x14ac:dyDescent="0.25">
      <c r="B7" s="35">
        <v>4</v>
      </c>
      <c r="C7" s="31" t="s">
        <v>30</v>
      </c>
      <c r="D7" s="36">
        <v>5</v>
      </c>
    </row>
    <row r="8" spans="2:4" x14ac:dyDescent="0.25">
      <c r="B8" s="35">
        <v>5</v>
      </c>
      <c r="C8" s="31" t="s">
        <v>31</v>
      </c>
      <c r="D8" s="36">
        <v>6</v>
      </c>
    </row>
    <row r="9" spans="2:4" x14ac:dyDescent="0.25">
      <c r="B9" s="35">
        <v>6</v>
      </c>
      <c r="C9" s="31" t="s">
        <v>32</v>
      </c>
      <c r="D9" s="36">
        <v>450</v>
      </c>
    </row>
    <row r="10" spans="2:4" x14ac:dyDescent="0.25">
      <c r="B10" s="35">
        <v>7</v>
      </c>
      <c r="C10" s="31" t="s">
        <v>33</v>
      </c>
      <c r="D10" s="36">
        <v>3</v>
      </c>
    </row>
    <row r="11" spans="2:4" x14ac:dyDescent="0.25">
      <c r="B11" s="35">
        <v>8</v>
      </c>
      <c r="C11" s="31" t="s">
        <v>34</v>
      </c>
      <c r="D11" s="36">
        <v>4.5</v>
      </c>
    </row>
    <row r="12" spans="2:4" x14ac:dyDescent="0.25">
      <c r="B12" s="35">
        <v>9</v>
      </c>
      <c r="C12" s="31" t="s">
        <v>35</v>
      </c>
      <c r="D12" s="36">
        <v>799</v>
      </c>
    </row>
    <row r="13" spans="2:4" x14ac:dyDescent="0.25">
      <c r="B13" s="35">
        <v>10</v>
      </c>
      <c r="C13" s="31" t="s">
        <v>36</v>
      </c>
      <c r="D13" s="36">
        <v>4</v>
      </c>
    </row>
  </sheetData>
  <conditionalFormatting sqref="B3:D3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Kuldeep Kumar Sharma</dc:creator>
  <cp:lastModifiedBy>Kuldeep Kumar Sharma</cp:lastModifiedBy>
  <cp:lastPrinted>2025-07-31T11:11:09Z</cp:lastPrinted>
  <dcterms:created xsi:type="dcterms:W3CDTF">2025-07-31T09:06:30Z</dcterms:created>
  <dcterms:modified xsi:type="dcterms:W3CDTF">2025-07-31T11:12:32Z</dcterms:modified>
</cp:coreProperties>
</file>