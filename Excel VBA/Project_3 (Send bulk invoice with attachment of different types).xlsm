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cer\Desktop\GitHub Project\Excel Projects\Excel VBA\"/>
    </mc:Choice>
  </mc:AlternateContent>
  <xr:revisionPtr revIDLastSave="0" documentId="13_ncr:1_{EE116C82-11F5-4790-86A1-7CE74584BD7A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Invoice" sheetId="1" r:id="rId1"/>
    <sheet name="Customer Data" sheetId="2" r:id="rId2"/>
  </sheets>
  <functionGroups builtInGroupCount="19"/>
  <definedNames>
    <definedName name="_xlnm.Print_Area" localSheetId="0">Invoice!$B$2:$F$22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8" i="1" l="1"/>
  <c r="E15" i="1"/>
  <c r="E16" i="1"/>
  <c r="E14" i="1"/>
  <c r="D15" i="1"/>
  <c r="D16" i="1"/>
  <c r="D14" i="1"/>
  <c r="F16" i="1" l="1"/>
  <c r="F15" i="1"/>
  <c r="F14" i="1"/>
  <c r="F17" i="1" l="1"/>
  <c r="F18" i="1" s="1"/>
  <c r="F19" i="1" s="1"/>
</calcChain>
</file>

<file path=xl/sharedStrings.xml><?xml version="1.0" encoding="utf-8"?>
<sst xmlns="http://schemas.openxmlformats.org/spreadsheetml/2006/main" count="183" uniqueCount="179">
  <si>
    <t>Business Name:</t>
  </si>
  <si>
    <t>Address:</t>
  </si>
  <si>
    <t>123 Main Road, Mumbai, Maharashtra - 400001</t>
  </si>
  <si>
    <t>Name:</t>
  </si>
  <si>
    <t>Phone:</t>
  </si>
  <si>
    <t>Email:</t>
  </si>
  <si>
    <t>Item</t>
  </si>
  <si>
    <t>Description</t>
  </si>
  <si>
    <t>Quantity</t>
  </si>
  <si>
    <t>Unit Price (₹)</t>
  </si>
  <si>
    <t>Line Total (₹)</t>
  </si>
  <si>
    <t>Wireless Mouse</t>
  </si>
  <si>
    <t>USB-C Cable</t>
  </si>
  <si>
    <t>Notebook Stand</t>
  </si>
  <si>
    <t>Subtotal (₹):</t>
  </si>
  <si>
    <t>Tax (18% GST):</t>
  </si>
  <si>
    <t>Total (₹):</t>
  </si>
  <si>
    <t>COMPUTER ACCESSORIES LTD.</t>
  </si>
  <si>
    <t>Customer Name</t>
  </si>
  <si>
    <t>Customer Address</t>
  </si>
  <si>
    <t>Customer Phone No.</t>
  </si>
  <si>
    <t>Customer Email ID</t>
  </si>
  <si>
    <t>Devansh Choudhury</t>
  </si>
  <si>
    <t>89, Cheema Chowk, Jodhpur-919965</t>
  </si>
  <si>
    <t>iarya@chaudhry.com</t>
  </si>
  <si>
    <t>Anvi Mane</t>
  </si>
  <si>
    <t>H.No. 652, Hayer Street, Bellary-294810</t>
  </si>
  <si>
    <t>rajaarmaan@gmail.com</t>
  </si>
  <si>
    <t>Ishita Reddy</t>
  </si>
  <si>
    <t>50/57, Chana Path, Nashik-502157</t>
  </si>
  <si>
    <t>bhaminimall@hotmail.com</t>
  </si>
  <si>
    <t>Shalv Mandal</t>
  </si>
  <si>
    <t>H.No. 31, Dhaliwal Street, Dibrugarh 421249</t>
  </si>
  <si>
    <t>chandadhanuk@subramanian.biz</t>
  </si>
  <si>
    <t>Jivin Dube</t>
  </si>
  <si>
    <t>21/270, Rege Zila, Sultan Pur Majra 870486</t>
  </si>
  <si>
    <t>wbansal@mammen-sur.com</t>
  </si>
  <si>
    <t>Damini Bora</t>
  </si>
  <si>
    <t>H.No. 507, Chander Road, Satna 103355</t>
  </si>
  <si>
    <t>crout@thakkar-sharma.com</t>
  </si>
  <si>
    <t>Chirag Desai</t>
  </si>
  <si>
    <t>19, Toor Path, Sasaram-932188</t>
  </si>
  <si>
    <t>jayan32@dash-brahmbhatt.com</t>
  </si>
  <si>
    <t>Alia Mannan</t>
  </si>
  <si>
    <t>H.No. 012, Sunder Circle, Naihati 086599</t>
  </si>
  <si>
    <t>ltella@hotmail.com</t>
  </si>
  <si>
    <t>Himmat Dyal</t>
  </si>
  <si>
    <t>46/96, Mallick, Rourkela-187070</t>
  </si>
  <si>
    <t>rania83@sundaram-uppal.org</t>
  </si>
  <si>
    <t>Charvi Bhavsar</t>
  </si>
  <si>
    <t>793, Choudhry Road, Katni 796801</t>
  </si>
  <si>
    <t>anvi65@saini-bhatia.com</t>
  </si>
  <si>
    <t>Akarsh Bains</t>
  </si>
  <si>
    <t>H.No. 70, Grover Chowk, Tiruchirappalli-909830</t>
  </si>
  <si>
    <t>oanne@borah.com</t>
  </si>
  <si>
    <t>Madhav Jhaveri</t>
  </si>
  <si>
    <t>H.No. 049, Saran Nagar, Thiruvananthapuram 906076</t>
  </si>
  <si>
    <t>chaudrydharmajan@anne-sastry.com</t>
  </si>
  <si>
    <t>Riaan Mall</t>
  </si>
  <si>
    <t>56/91, Lalla Path, Bhilwara 956733</t>
  </si>
  <si>
    <t>trisha51@gmail.com</t>
  </si>
  <si>
    <t>Nayantara Sunder</t>
  </si>
  <si>
    <t>H.No. 369, Jhaveri Chowk, Machilipatnam 308075</t>
  </si>
  <si>
    <t>igaba@contractor.com</t>
  </si>
  <si>
    <t>Jiya Soni</t>
  </si>
  <si>
    <t>20/193, Srinivasan Chowk, Jaipur-522684</t>
  </si>
  <si>
    <t>bhaktahridaan@hotmail.com</t>
  </si>
  <si>
    <t>Suhana Suresh</t>
  </si>
  <si>
    <t>73/606, Biswas Zila, Medininagar 908645</t>
  </si>
  <si>
    <t>jayantgolla@anne-chatterjee.com</t>
  </si>
  <si>
    <t>Aarav Gala</t>
  </si>
  <si>
    <t>816, Gupta, Jhansi 049161</t>
  </si>
  <si>
    <t>qkashyap@hotmail.com</t>
  </si>
  <si>
    <t>Vaibhav Krishna</t>
  </si>
  <si>
    <t>47/383, Bhavsar Street, Warangal-793843</t>
  </si>
  <si>
    <t>dishani46@gmail.com</t>
  </si>
  <si>
    <t>Prisha Lanka</t>
  </si>
  <si>
    <t>402, Chauhan, Nellore-763334</t>
  </si>
  <si>
    <t>routarnav@ray.com</t>
  </si>
  <si>
    <t>Kiaan Som</t>
  </si>
  <si>
    <t>H.No. 851, Cherian Circle, Bidar-431620</t>
  </si>
  <si>
    <t>iganguly@hotmail.com</t>
  </si>
  <si>
    <t>Miraan Doshi</t>
  </si>
  <si>
    <t>28, Kota Path, Karawal Nagar-739781</t>
  </si>
  <si>
    <t>osunder@sibal.biz</t>
  </si>
  <si>
    <t>Mamooty Rana</t>
  </si>
  <si>
    <t>H.No. 92, Iyengar Marg, Gopalpur 537971</t>
  </si>
  <si>
    <t>kchaudhry@gmail.com</t>
  </si>
  <si>
    <t>Hridaan Deshpande</t>
  </si>
  <si>
    <t>H.No. 86, Rajagopal Street, Kottayam-120965</t>
  </si>
  <si>
    <t>kadakiaishita@yahoo.com</t>
  </si>
  <si>
    <t>Kaira Jani</t>
  </si>
  <si>
    <t>H.No. 28, Mahal, Ranchi-135211</t>
  </si>
  <si>
    <t>golaaayush@karan.com</t>
  </si>
  <si>
    <t>Aayush Din</t>
  </si>
  <si>
    <t>66, Zachariah Chowk, Bangalore-994734</t>
  </si>
  <si>
    <t>zainamangal@gmail.com</t>
  </si>
  <si>
    <t>Heer Bala</t>
  </si>
  <si>
    <t>08/016, Kapur Ganj, Mira-Bhayandar 120497</t>
  </si>
  <si>
    <t>garabhavin@hotmail.com</t>
  </si>
  <si>
    <t>Shaan Baral</t>
  </si>
  <si>
    <t>H.No. 32, Rout Ganj, Dibrugarh-055986</t>
  </si>
  <si>
    <t>duttsamaira@gmail.com</t>
  </si>
  <si>
    <t>Alisha Kanda</t>
  </si>
  <si>
    <t>86/417, Joshi Street, Bidar 468082</t>
  </si>
  <si>
    <t>rashadhar@gmail.com</t>
  </si>
  <si>
    <t>Onkar Solanki</t>
  </si>
  <si>
    <t>346, Swamy Chowk, Darbhanga 929098</t>
  </si>
  <si>
    <t>darshit36@chandra.com</t>
  </si>
  <si>
    <t>Dishani Ahuja</t>
  </si>
  <si>
    <t>58/84, Dyal Road, Jehanabad 732496</t>
  </si>
  <si>
    <t>navya94@yahoo.com</t>
  </si>
  <si>
    <t>Miraan Tak</t>
  </si>
  <si>
    <t>430, Mahajan Street, Gurgaon 344627</t>
  </si>
  <si>
    <t>ftank@hotmail.com</t>
  </si>
  <si>
    <t>Khushi Sule</t>
  </si>
  <si>
    <t>98/05, Mammen Marg, Navi Mumbai 851912</t>
  </si>
  <si>
    <t>ishita92@wagle-dara.com</t>
  </si>
  <si>
    <t>Kartik Brar</t>
  </si>
  <si>
    <t>H.No. 950, Ahuja Nagar, Suryapet 707703</t>
  </si>
  <si>
    <t>indrans27@dass-tank.info</t>
  </si>
  <si>
    <t>Baiju Gera</t>
  </si>
  <si>
    <t>89, Sarraf Path, Hindupur 955426</t>
  </si>
  <si>
    <t>kallasara@halder-srivastava.biz</t>
  </si>
  <si>
    <t>Dhanuk Rajan</t>
  </si>
  <si>
    <t>H.No. 12, Rama Zila, Bulandshahr-665562</t>
  </si>
  <si>
    <t>guptariaan@gmail.com</t>
  </si>
  <si>
    <t>Stuvan Kurian</t>
  </si>
  <si>
    <t>06/66, Varughese Chowk, Saharanpur 094766</t>
  </si>
  <si>
    <t>upadhyaysaanvi@gmail.com</t>
  </si>
  <si>
    <t>Ishaan Sani</t>
  </si>
  <si>
    <t>H.No. 532, Bhatia Road, Amravati-656081</t>
  </si>
  <si>
    <t>arajan@anne-sagar.com</t>
  </si>
  <si>
    <t>Anika Chatterjee</t>
  </si>
  <si>
    <t>H.No. 747, Tiwari Path, Belgaum-809070</t>
  </si>
  <si>
    <t>upadhyayrasha@yahoo.com</t>
  </si>
  <si>
    <t>Sara Behl</t>
  </si>
  <si>
    <t>16, Krishnan Chowk, Amroha 830125</t>
  </si>
  <si>
    <t>sonisumer@dhar-vora.com</t>
  </si>
  <si>
    <t>Anika Kohli</t>
  </si>
  <si>
    <t>35/368, Gola Ganj, Thoothukudi-286003</t>
  </si>
  <si>
    <t>badalela@virk-dora.com</t>
  </si>
  <si>
    <t>Manikya Virk</t>
  </si>
  <si>
    <t>626, Vyas, Solapur-826381</t>
  </si>
  <si>
    <t>chadakarsh@yahoo.com</t>
  </si>
  <si>
    <t>Manjari Bhat</t>
  </si>
  <si>
    <t>80/68, Chander Path, Madhyamgram-183563</t>
  </si>
  <si>
    <t>yuvraj-43@gmail.com</t>
  </si>
  <si>
    <t>Indrans Mahal</t>
  </si>
  <si>
    <t>49, Varghese Path, Patiala 132066</t>
  </si>
  <si>
    <t>mganguly@yahoo.com</t>
  </si>
  <si>
    <t>Renee Bumb</t>
  </si>
  <si>
    <t>H.No. 471, Dora Zila, Madanapalle 356195</t>
  </si>
  <si>
    <t>aaravghosh@dhawan-kakar.com</t>
  </si>
  <si>
    <t>Zeeshan Bala</t>
  </si>
  <si>
    <t>33, Dube, Hubli–Dharwad-033592</t>
  </si>
  <si>
    <t>mrajagopal@bajaj.org</t>
  </si>
  <si>
    <t>Kanav Mander</t>
  </si>
  <si>
    <t>42, Deshpande Ganj, Ongole 782890</t>
  </si>
  <si>
    <t>tlala@hari.com</t>
  </si>
  <si>
    <t>Riaan Shukla</t>
  </si>
  <si>
    <t>H.No. 47, Doctor Road, Karawal Nagar-558722</t>
  </si>
  <si>
    <t>obhalla@ramaswamy.org</t>
  </si>
  <si>
    <t>Purab Venkataraman</t>
  </si>
  <si>
    <t>99/40, Bajwa Chowk, Bellary-067911</t>
  </si>
  <si>
    <t>owable@kuruvilla.com</t>
  </si>
  <si>
    <t>Jivin Gupta</t>
  </si>
  <si>
    <t>33/359, Issac Road, Naihati-010874</t>
  </si>
  <si>
    <t>samar97@hotmail.com</t>
  </si>
  <si>
    <t>Adira Saraf</t>
  </si>
  <si>
    <t>49/754, Srivastava Ganj, New Delhi 849637</t>
  </si>
  <si>
    <t>lalfaiyaz@hotmail.com</t>
  </si>
  <si>
    <t>Digitronix</t>
  </si>
  <si>
    <t>It’s always a pleasure to serve customers like you. Thank you!</t>
  </si>
  <si>
    <t>Customer Information:</t>
  </si>
  <si>
    <t>Select Type of Attachment/Screenshot</t>
  </si>
  <si>
    <t>Invoice ID:</t>
  </si>
  <si>
    <t>Invoice ID</t>
  </si>
  <si>
    <t>Image Attachment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</si>
</sst>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b/>
      <sz val="14"/>
      <name val="Calibri"/>
      <family val="2"/>
    </font>
    <font>
      <b/>
      <sz val="11"/>
      <name val="Calibri"/>
      <family val="2"/>
    </font>
    <font>
      <b/>
      <sz val="11"/>
      <color theme="1"/>
      <name val="Calibri"/>
      <family val="2"/>
      <scheme val="minor"/>
    </font>
    <font>
      <b/>
      <u/>
      <sz val="16"/>
      <color theme="0"/>
      <name val="Calibri"/>
      <family val="2"/>
      <scheme val="minor"/>
    </font>
    <font>
      <b/>
      <sz val="11"/>
      <name val="Calibri"/>
      <family val="2"/>
    </font>
    <font>
      <b/>
      <sz val="14"/>
      <color theme="1"/>
      <name val="Calibri"/>
      <family val="2"/>
      <scheme val="minor"/>
    </font>
    <font>
      <sz val="11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/>
        <bgColor indexed="64"/>
      </patternFill>
    </fill>
  </fills>
  <borders count="1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4">
    <xf numFmtId="0" fontId="0" fillId="0" borderId="0" xfId="0"/>
    <xf numFmtId="0" fontId="3" fillId="0" borderId="6" xfId="0" applyFont="1" applyBorder="1" applyAlignment="1">
      <alignment horizontal="center" vertical="top"/>
    </xf>
    <xf numFmtId="1" fontId="0" fillId="0" borderId="0" xfId="0" applyNumberFormat="1"/>
    <xf numFmtId="0" fontId="4" fillId="2" borderId="7" xfId="0" applyFont="1" applyFill="1" applyBorder="1" applyAlignment="1">
      <alignment horizontal="centerContinuous" vertical="center"/>
    </xf>
    <xf numFmtId="0" fontId="4" fillId="2" borderId="8" xfId="0" applyFont="1" applyFill="1" applyBorder="1" applyAlignment="1">
      <alignment horizontal="centerContinuous"/>
    </xf>
    <xf numFmtId="0" fontId="4" fillId="2" borderId="9" xfId="0" applyFont="1" applyFill="1" applyBorder="1" applyAlignment="1">
      <alignment horizontal="centerContinuous"/>
    </xf>
    <xf numFmtId="0" fontId="1" fillId="3" borderId="1" xfId="0" applyFont="1" applyFill="1" applyBorder="1"/>
    <xf numFmtId="0" fontId="0" fillId="3" borderId="2" xfId="0" applyFill="1" applyBorder="1"/>
    <xf numFmtId="0" fontId="2" fillId="4" borderId="6" xfId="0" applyFont="1" applyFill="1" applyBorder="1" applyAlignment="1">
      <alignment horizontal="center"/>
    </xf>
    <xf numFmtId="0" fontId="2" fillId="4" borderId="10" xfId="0" applyFont="1" applyFill="1" applyBorder="1" applyAlignment="1">
      <alignment horizontal="center"/>
    </xf>
    <xf numFmtId="0" fontId="2" fillId="4" borderId="11" xfId="0" applyFont="1" applyFill="1" applyBorder="1" applyAlignment="1">
      <alignment horizontal="center"/>
    </xf>
    <xf numFmtId="0" fontId="6" fillId="4" borderId="0" xfId="0" applyFont="1" applyFill="1" applyAlignment="1">
      <alignment horizontal="centerContinuous" vertical="center"/>
    </xf>
    <xf numFmtId="0" fontId="3" fillId="0" borderId="6" xfId="0" applyFont="1" applyBorder="1"/>
    <xf numFmtId="0" fontId="0" fillId="5" borderId="2" xfId="0" applyFill="1" applyBorder="1"/>
    <xf numFmtId="0" fontId="0" fillId="5" borderId="3" xfId="0" applyFill="1" applyBorder="1"/>
    <xf numFmtId="0" fontId="0" fillId="5" borderId="4" xfId="0" applyFill="1" applyBorder="1"/>
    <xf numFmtId="0" fontId="0" fillId="5" borderId="0" xfId="0" applyFill="1"/>
    <xf numFmtId="0" fontId="0" fillId="5" borderId="5" xfId="0" applyFill="1" applyBorder="1"/>
    <xf numFmtId="0" fontId="5" fillId="5" borderId="4" xfId="0" applyFont="1" applyFill="1" applyBorder="1"/>
    <xf numFmtId="0" fontId="0" fillId="5" borderId="10" xfId="0" applyFill="1" applyBorder="1"/>
    <xf numFmtId="0" fontId="0" fillId="5" borderId="6" xfId="0" applyFill="1" applyBorder="1"/>
    <xf numFmtId="0" fontId="0" fillId="5" borderId="11" xfId="0" applyFill="1" applyBorder="1"/>
    <xf numFmtId="0" fontId="0" fillId="0" borderId="0" xfId="0" applyAlignment="1">
      <alignment horizontal="left" vertical="center" indent="1"/>
    </xf>
    <xf numFmtId="0" fontId="3" fillId="0" borderId="0" xfId="0" applyFont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g"/><Relationship Id="rId2" Type="http://schemas.openxmlformats.org/officeDocument/2006/relationships/image" Target="../media/image2.jp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1114425</xdr:colOff>
      <xdr:row>1</xdr:row>
      <xdr:rowOff>142875</xdr:rowOff>
    </xdr:from>
    <xdr:to>
      <xdr:col>5</xdr:col>
      <xdr:colOff>1019175</xdr:colOff>
      <xdr:row>7</xdr:row>
      <xdr:rowOff>57150</xdr:rowOff>
    </xdr:to>
    <xdr:pic>
      <xdr:nvPicPr>
        <xdr:cNvPr id="5" name="Logo">
          <a:extLst>
            <a:ext uri="{FF2B5EF4-FFF2-40B4-BE49-F238E27FC236}">
              <a16:creationId xmlns:a16="http://schemas.microsoft.com/office/drawing/2014/main" id="{AF2FDC15-DFA8-D7BB-3B8A-FE434D5884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57775" y="333375"/>
          <a:ext cx="1104900" cy="1104900"/>
        </a:xfrm>
        <a:prstGeom prst="snip2DiagRect">
          <a:avLst/>
        </a:prstGeom>
        <a:solidFill>
          <a:srgbClr val="FFFFFF">
            <a:shade val="85000"/>
          </a:srgbClr>
        </a:solidFill>
        <a:ln w="19050" cap="sq">
          <a:solidFill>
            <a:schemeClr val="tx1"/>
          </a:solidFill>
          <a:miter lim="800000"/>
        </a:ln>
        <a:effectLst>
          <a:outerShdw blurRad="88900" algn="tl" rotWithShape="0">
            <a:srgbClr val="000000">
              <a:alpha val="45000"/>
            </a:srgbClr>
          </a:outerShdw>
        </a:effectLst>
        <a:scene3d>
          <a:camera prst="orthographicFront"/>
          <a:lightRig rig="twoPt" dir="t">
            <a:rot lat="0" lon="0" rev="7200000"/>
          </a:lightRig>
        </a:scene3d>
        <a:sp3d>
          <a:bevelT w="25400" h="19050"/>
          <a:contourClr>
            <a:srgbClr val="FFFFFF"/>
          </a:contourClr>
        </a:sp3d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4</xdr:row>
          <xdr:rowOff>0</xdr:rowOff>
        </xdr:from>
        <xdr:to>
          <xdr:col>9</xdr:col>
          <xdr:colOff>0</xdr:colOff>
          <xdr:row>6</xdr:row>
          <xdr:rowOff>0</xdr:rowOff>
        </xdr:to>
        <xdr:sp macro="" textlink="">
          <xdr:nvSpPr>
            <xdr:cNvPr id="1027" name="CodeButton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See the VB Code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8</xdr:row>
          <xdr:rowOff>0</xdr:rowOff>
        </xdr:from>
        <xdr:to>
          <xdr:col>9</xdr:col>
          <xdr:colOff>0</xdr:colOff>
          <xdr:row>10</xdr:row>
          <xdr:rowOff>0</xdr:rowOff>
        </xdr:to>
        <xdr:sp macro="" textlink="">
          <xdr:nvSpPr>
            <xdr:cNvPr id="1028" name="SampleButton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Sample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7</xdr:col>
      <xdr:colOff>0</xdr:colOff>
      <xdr:row>11</xdr:row>
      <xdr:rowOff>0</xdr:rowOff>
    </xdr:from>
    <xdr:to>
      <xdr:col>18</xdr:col>
      <xdr:colOff>504825</xdr:colOff>
      <xdr:row>29</xdr:row>
      <xdr:rowOff>110028</xdr:rowOff>
    </xdr:to>
    <xdr:pic>
      <xdr:nvPicPr>
        <xdr:cNvPr id="3" name="PDFAttachment" hidden="1">
          <a:extLst>
            <a:ext uri="{FF2B5EF4-FFF2-40B4-BE49-F238E27FC236}">
              <a16:creationId xmlns:a16="http://schemas.microsoft.com/office/drawing/2014/main" id="{7D470619-539C-48A3-89B2-C153F79DF2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53250" y="2152650"/>
          <a:ext cx="7772400" cy="3634278"/>
        </a:xfrm>
        <a:prstGeom prst="rect">
          <a:avLst/>
        </a:prstGeom>
        <a:ln w="19050">
          <a:solidFill>
            <a:schemeClr val="tx1"/>
          </a:solidFill>
        </a:ln>
      </xdr:spPr>
    </xdr:pic>
    <xdr:clientData/>
  </xdr:twoCellAnchor>
  <xdr:twoCellAnchor editAs="oneCell">
    <xdr:from>
      <xdr:col>7</xdr:col>
      <xdr:colOff>0</xdr:colOff>
      <xdr:row>11</xdr:row>
      <xdr:rowOff>0</xdr:rowOff>
    </xdr:from>
    <xdr:to>
      <xdr:col>18</xdr:col>
      <xdr:colOff>504825</xdr:colOff>
      <xdr:row>29</xdr:row>
      <xdr:rowOff>180042</xdr:rowOff>
    </xdr:to>
    <xdr:pic>
      <xdr:nvPicPr>
        <xdr:cNvPr id="6" name="ImageAttachment" hidden="1">
          <a:extLst>
            <a:ext uri="{FF2B5EF4-FFF2-40B4-BE49-F238E27FC236}">
              <a16:creationId xmlns:a16="http://schemas.microsoft.com/office/drawing/2014/main" id="{58D29E49-BF7F-9289-7341-F55CEF7597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53250" y="2152650"/>
          <a:ext cx="7772400" cy="3704292"/>
        </a:xfrm>
        <a:prstGeom prst="rect">
          <a:avLst/>
        </a:prstGeom>
        <a:ln w="19050">
          <a:solidFill>
            <a:schemeClr val="tx1"/>
          </a:solidFill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8</xdr:row>
          <xdr:rowOff>0</xdr:rowOff>
        </xdr:from>
        <xdr:to>
          <xdr:col>12</xdr:col>
          <xdr:colOff>561975</xdr:colOff>
          <xdr:row>10</xdr:row>
          <xdr:rowOff>0</xdr:rowOff>
        </xdr:to>
        <xdr:sp macro="" textlink="">
          <xdr:nvSpPr>
            <xdr:cNvPr id="1031" name="SampleButton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Sample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Invoice"/>
  <dimension ref="B1:K21"/>
  <sheetViews>
    <sheetView tabSelected="1" zoomScaleNormal="100" workbookViewId="0">
      <selection activeCell="K11" sqref="K11"/>
    </sheetView>
  </sheetViews>
  <sheetFormatPr defaultRowHeight="15" x14ac:dyDescent="0.25"/>
  <cols>
    <col min="2" max="2" width="15" customWidth="1"/>
    <col min="3" max="3" width="25" customWidth="1"/>
    <col min="4" max="4" width="10" customWidth="1"/>
    <col min="5" max="6" width="18" customWidth="1"/>
    <col min="8" max="8" width="17.5703125" bestFit="1" customWidth="1"/>
  </cols>
  <sheetData>
    <row r="1" spans="2:11" ht="15.75" thickBot="1" x14ac:dyDescent="0.3"/>
    <row r="2" spans="2:11" ht="18.75" x14ac:dyDescent="0.3">
      <c r="B2" s="6" t="s">
        <v>17</v>
      </c>
      <c r="C2" s="7"/>
      <c r="D2" s="13"/>
      <c r="E2" s="13"/>
      <c r="F2" s="14"/>
      <c r="H2" s="11" t="s">
        <v>175</v>
      </c>
      <c r="I2" s="11"/>
      <c r="J2" s="11"/>
      <c r="K2" s="11"/>
    </row>
    <row r="3" spans="2:11" x14ac:dyDescent="0.25">
      <c r="B3" s="15" t="s">
        <v>0</v>
      </c>
      <c r="C3" s="16" t="s">
        <v>172</v>
      </c>
      <c r="D3" s="16"/>
      <c r="E3" s="16"/>
      <c r="F3" s="17"/>
      <c r="H3" s="12" t="s">
        <v>178</v>
      </c>
    </row>
    <row r="4" spans="2:11" x14ac:dyDescent="0.25">
      <c r="B4" s="15" t="s">
        <v>1</v>
      </c>
      <c r="C4" s="16" t="s">
        <v>2</v>
      </c>
      <c r="D4" s="16"/>
      <c r="E4" s="16"/>
      <c r="F4" s="17"/>
    </row>
    <row r="5" spans="2:11" x14ac:dyDescent="0.25">
      <c r="B5" s="15"/>
      <c r="C5" s="16"/>
      <c r="D5" s="16"/>
      <c r="E5" s="16"/>
      <c r="F5" s="17"/>
    </row>
    <row r="6" spans="2:11" x14ac:dyDescent="0.25">
      <c r="B6" s="18" t="s">
        <v>174</v>
      </c>
      <c r="C6" s="16"/>
      <c r="D6" s="16"/>
      <c r="E6" s="16"/>
      <c r="F6" s="17"/>
    </row>
    <row r="7" spans="2:11" x14ac:dyDescent="0.25">
      <c r="B7" s="15" t="s">
        <v>176</v>
      </c>
      <c r="C7" s="16">
        <v>50049</v>
      </c>
      <c r="D7" s="16"/>
      <c r="E7" s="16"/>
      <c r="F7" s="17"/>
    </row>
    <row r="8" spans="2:11" x14ac:dyDescent="0.25">
      <c r="B8" s="15" t="s">
        <v>3</v>
      </c>
      <c r="C8" s="16" t="s">
        <v>169</v>
      </c>
      <c r="D8" s="16"/>
      <c r="E8" s="16"/>
      <c r="F8" s="17"/>
      <c r="H8" s="23" t="str">
        <f>"Show Sample For: " &amp; H3</f>
        <v>Show Sample For: Image Attachment</v>
      </c>
    </row>
    <row r="9" spans="2:11" x14ac:dyDescent="0.25">
      <c r="B9" s="15" t="s">
        <v>1</v>
      </c>
      <c r="C9" s="16" t="s">
        <v>170</v>
      </c>
      <c r="D9" s="16"/>
      <c r="E9" s="16"/>
      <c r="F9" s="17"/>
      <c r="H9" s="22"/>
    </row>
    <row r="10" spans="2:11" x14ac:dyDescent="0.25">
      <c r="B10" s="15" t="s">
        <v>4</v>
      </c>
      <c r="C10" s="16">
        <v>8657438853</v>
      </c>
      <c r="D10" s="16"/>
      <c r="E10" s="16"/>
      <c r="F10" s="17"/>
      <c r="H10" s="22"/>
    </row>
    <row r="11" spans="2:11" x14ac:dyDescent="0.25">
      <c r="B11" s="15" t="s">
        <v>5</v>
      </c>
      <c r="C11" s="16" t="s">
        <v>171</v>
      </c>
      <c r="D11" s="16"/>
      <c r="E11" s="16"/>
      <c r="F11" s="17"/>
      <c r="H11" s="22"/>
    </row>
    <row r="12" spans="2:11" x14ac:dyDescent="0.25">
      <c r="B12" s="15"/>
      <c r="C12" s="16"/>
      <c r="D12" s="16"/>
      <c r="E12" s="16"/>
      <c r="F12" s="17"/>
      <c r="H12" s="22"/>
    </row>
    <row r="13" spans="2:11" x14ac:dyDescent="0.25">
      <c r="B13" s="9" t="s">
        <v>6</v>
      </c>
      <c r="C13" s="8" t="s">
        <v>7</v>
      </c>
      <c r="D13" s="8" t="s">
        <v>8</v>
      </c>
      <c r="E13" s="8" t="s">
        <v>9</v>
      </c>
      <c r="F13" s="10" t="s">
        <v>10</v>
      </c>
      <c r="H13" s="22"/>
    </row>
    <row r="14" spans="2:11" x14ac:dyDescent="0.25">
      <c r="B14" s="19">
        <v>1</v>
      </c>
      <c r="C14" s="20" t="s">
        <v>11</v>
      </c>
      <c r="D14" s="20">
        <f ca="1">RANDBETWEEN(5,20)</f>
        <v>5</v>
      </c>
      <c r="E14" s="20">
        <f ca="1">RANDBETWEEN(500,5000)</f>
        <v>1049</v>
      </c>
      <c r="F14" s="21">
        <f ca="1">D14*E14</f>
        <v>5245</v>
      </c>
    </row>
    <row r="15" spans="2:11" x14ac:dyDescent="0.25">
      <c r="B15" s="19">
        <v>2</v>
      </c>
      <c r="C15" s="20" t="s">
        <v>12</v>
      </c>
      <c r="D15" s="20">
        <f t="shared" ref="D15:D16" ca="1" si="0">RANDBETWEEN(5,20)</f>
        <v>7</v>
      </c>
      <c r="E15" s="20">
        <f t="shared" ref="E15:E16" ca="1" si="1">RANDBETWEEN(500,5000)</f>
        <v>2071</v>
      </c>
      <c r="F15" s="21">
        <f ca="1">D15*E15</f>
        <v>14497</v>
      </c>
    </row>
    <row r="16" spans="2:11" x14ac:dyDescent="0.25">
      <c r="B16" s="19">
        <v>3</v>
      </c>
      <c r="C16" s="20" t="s">
        <v>13</v>
      </c>
      <c r="D16" s="20">
        <f t="shared" ca="1" si="0"/>
        <v>14</v>
      </c>
      <c r="E16" s="20">
        <f t="shared" ca="1" si="1"/>
        <v>4961</v>
      </c>
      <c r="F16" s="21">
        <f ca="1">D16*E16</f>
        <v>69454</v>
      </c>
    </row>
    <row r="17" spans="2:6" x14ac:dyDescent="0.25">
      <c r="B17" s="15"/>
      <c r="C17" s="16"/>
      <c r="D17" s="16"/>
      <c r="E17" s="20" t="s">
        <v>14</v>
      </c>
      <c r="F17" s="21">
        <f ca="1">F14+F15+F16</f>
        <v>89196</v>
      </c>
    </row>
    <row r="18" spans="2:6" x14ac:dyDescent="0.25">
      <c r="B18" s="15"/>
      <c r="C18" s="16"/>
      <c r="D18" s="16"/>
      <c r="E18" s="20" t="s">
        <v>15</v>
      </c>
      <c r="F18" s="21">
        <f ca="1">F17*0.18</f>
        <v>16055.279999999999</v>
      </c>
    </row>
    <row r="19" spans="2:6" x14ac:dyDescent="0.25">
      <c r="B19" s="15"/>
      <c r="C19" s="16"/>
      <c r="D19" s="16"/>
      <c r="E19" s="20" t="s">
        <v>16</v>
      </c>
      <c r="F19" s="21">
        <f ca="1">F17+F18</f>
        <v>105251.28</v>
      </c>
    </row>
    <row r="20" spans="2:6" ht="15.75" thickBot="1" x14ac:dyDescent="0.3">
      <c r="B20" s="15"/>
      <c r="C20" s="16"/>
      <c r="D20" s="16"/>
      <c r="E20" s="16"/>
      <c r="F20" s="17"/>
    </row>
    <row r="21" spans="2:6" ht="21.75" thickBot="1" x14ac:dyDescent="0.4">
      <c r="B21" s="3" t="s">
        <v>173</v>
      </c>
      <c r="C21" s="4"/>
      <c r="D21" s="4"/>
      <c r="E21" s="4"/>
      <c r="F21" s="5"/>
    </row>
  </sheetData>
  <dataValidations count="1">
    <dataValidation type="list" allowBlank="1" showInputMessage="1" showErrorMessage="1" errorTitle="Choose Attachment Type" error="Please choose attachment type from dropdown!" promptTitle="Choose Attachment Type" prompt="Please choose attachment type from dropdown" sqref="H3" xr:uid="{0BBC2F75-909E-4A8F-B3F2-E3B0BA0B21EA}">
      <formula1>"Image Attachment,PDF Attachment"</formula1>
    </dataValidation>
  </dataValidations>
  <pageMargins left="0.75" right="0.75" top="1" bottom="1" header="0.5" footer="0.5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CodeButton">
              <controlPr defaultSize="0" print="0" autoFill="0" autoPict="0" macro="[0]!OpenVBEditor">
                <anchor moveWithCells="1" sizeWithCells="1">
                  <from>
                    <xdr:col>7</xdr:col>
                    <xdr:colOff>0</xdr:colOff>
                    <xdr:row>4</xdr:row>
                    <xdr:rowOff>0</xdr:rowOff>
                  </from>
                  <to>
                    <xdr:col>9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SampleButton">
              <controlPr defaultSize="0" print="0" autoFill="0" autoPict="0" macro="[0]!ShowPictures">
                <anchor moveWithCells="1" sizeWithCells="1">
                  <from>
                    <xdr:col>7</xdr:col>
                    <xdr:colOff>0</xdr:colOff>
                    <xdr:row>8</xdr:row>
                    <xdr:rowOff>0</xdr:rowOff>
                  </from>
                  <to>
                    <xdr:col>9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6" name="Button 7">
              <controlPr defaultSize="0" print="0" autoFill="0" autoPict="0" macro="[0]!HideSamples">
                <anchor moveWithCells="1" sizeWithCells="1">
                  <from>
                    <xdr:col>10</xdr:col>
                    <xdr:colOff>0</xdr:colOff>
                    <xdr:row>8</xdr:row>
                    <xdr:rowOff>0</xdr:rowOff>
                  </from>
                  <to>
                    <xdr:col>12</xdr:col>
                    <xdr:colOff>561975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16756-FB6C-4B28-AEAE-6D39F2C62ADB}">
  <sheetPr codeName="CustData"/>
  <dimension ref="A1:E51"/>
  <sheetViews>
    <sheetView workbookViewId="0">
      <selection activeCell="C12" sqref="C12"/>
    </sheetView>
  </sheetViews>
  <sheetFormatPr defaultRowHeight="15" x14ac:dyDescent="0.25"/>
  <cols>
    <col min="1" max="1" width="9.7109375" bestFit="1" customWidth="1"/>
    <col min="2" max="2" width="19.7109375" bestFit="1" customWidth="1"/>
    <col min="3" max="3" width="48" bestFit="1" customWidth="1"/>
    <col min="4" max="4" width="19.5703125" bestFit="1" customWidth="1"/>
    <col min="5" max="5" width="34.7109375" bestFit="1" customWidth="1"/>
  </cols>
  <sheetData>
    <row r="1" spans="1:5" x14ac:dyDescent="0.25">
      <c r="A1" t="s">
        <v>177</v>
      </c>
      <c r="B1" s="1" t="s">
        <v>18</v>
      </c>
      <c r="C1" s="1" t="s">
        <v>19</v>
      </c>
      <c r="D1" s="1" t="s">
        <v>20</v>
      </c>
      <c r="E1" s="1" t="s">
        <v>21</v>
      </c>
    </row>
    <row r="2" spans="1:5" x14ac:dyDescent="0.25">
      <c r="A2">
        <v>50000</v>
      </c>
      <c r="B2" t="s">
        <v>22</v>
      </c>
      <c r="C2" t="s">
        <v>23</v>
      </c>
      <c r="D2" s="2">
        <v>3611461855</v>
      </c>
      <c r="E2" t="s">
        <v>24</v>
      </c>
    </row>
    <row r="3" spans="1:5" x14ac:dyDescent="0.25">
      <c r="A3">
        <v>50001</v>
      </c>
      <c r="B3" t="s">
        <v>25</v>
      </c>
      <c r="C3" t="s">
        <v>26</v>
      </c>
      <c r="D3" s="2">
        <v>4853149485</v>
      </c>
      <c r="E3" t="s">
        <v>27</v>
      </c>
    </row>
    <row r="4" spans="1:5" x14ac:dyDescent="0.25">
      <c r="A4">
        <v>50002</v>
      </c>
      <c r="B4" t="s">
        <v>28</v>
      </c>
      <c r="C4" t="s">
        <v>29</v>
      </c>
      <c r="D4" s="2">
        <v>915261977951</v>
      </c>
      <c r="E4" t="s">
        <v>30</v>
      </c>
    </row>
    <row r="5" spans="1:5" x14ac:dyDescent="0.25">
      <c r="A5">
        <v>50003</v>
      </c>
      <c r="B5" t="s">
        <v>31</v>
      </c>
      <c r="C5" t="s">
        <v>32</v>
      </c>
      <c r="D5" s="2">
        <v>7579630268</v>
      </c>
      <c r="E5" t="s">
        <v>33</v>
      </c>
    </row>
    <row r="6" spans="1:5" x14ac:dyDescent="0.25">
      <c r="A6">
        <v>50004</v>
      </c>
      <c r="B6" t="s">
        <v>34</v>
      </c>
      <c r="C6" t="s">
        <v>35</v>
      </c>
      <c r="D6" s="2">
        <v>914300834166</v>
      </c>
      <c r="E6" t="s">
        <v>36</v>
      </c>
    </row>
    <row r="7" spans="1:5" x14ac:dyDescent="0.25">
      <c r="A7">
        <v>50005</v>
      </c>
      <c r="B7" t="s">
        <v>37</v>
      </c>
      <c r="C7" t="s">
        <v>38</v>
      </c>
      <c r="D7" s="2">
        <v>915283972779</v>
      </c>
      <c r="E7" t="s">
        <v>39</v>
      </c>
    </row>
    <row r="8" spans="1:5" x14ac:dyDescent="0.25">
      <c r="A8">
        <v>50006</v>
      </c>
      <c r="B8" t="s">
        <v>40</v>
      </c>
      <c r="C8" t="s">
        <v>41</v>
      </c>
      <c r="D8" s="2">
        <v>2539850929</v>
      </c>
      <c r="E8" t="s">
        <v>42</v>
      </c>
    </row>
    <row r="9" spans="1:5" x14ac:dyDescent="0.25">
      <c r="A9">
        <v>50007</v>
      </c>
      <c r="B9" t="s">
        <v>43</v>
      </c>
      <c r="C9" t="s">
        <v>44</v>
      </c>
      <c r="D9" s="2">
        <v>2048621831</v>
      </c>
      <c r="E9" t="s">
        <v>45</v>
      </c>
    </row>
    <row r="10" spans="1:5" x14ac:dyDescent="0.25">
      <c r="A10">
        <v>50008</v>
      </c>
      <c r="B10" t="s">
        <v>46</v>
      </c>
      <c r="C10" t="s">
        <v>47</v>
      </c>
      <c r="D10" s="2">
        <v>4333753282</v>
      </c>
      <c r="E10" t="s">
        <v>48</v>
      </c>
    </row>
    <row r="11" spans="1:5" x14ac:dyDescent="0.25">
      <c r="A11">
        <v>50009</v>
      </c>
      <c r="B11" t="s">
        <v>49</v>
      </c>
      <c r="C11" t="s">
        <v>50</v>
      </c>
      <c r="D11" s="2">
        <v>911346046887</v>
      </c>
      <c r="E11" t="s">
        <v>51</v>
      </c>
    </row>
    <row r="12" spans="1:5" x14ac:dyDescent="0.25">
      <c r="A12">
        <v>50010</v>
      </c>
      <c r="B12" t="s">
        <v>52</v>
      </c>
      <c r="C12" t="s">
        <v>53</v>
      </c>
      <c r="D12" s="2">
        <v>916830224170</v>
      </c>
      <c r="E12" t="s">
        <v>54</v>
      </c>
    </row>
    <row r="13" spans="1:5" x14ac:dyDescent="0.25">
      <c r="A13">
        <v>50011</v>
      </c>
      <c r="B13" t="s">
        <v>55</v>
      </c>
      <c r="C13" t="s">
        <v>56</v>
      </c>
      <c r="D13" s="2">
        <v>2402106875</v>
      </c>
      <c r="E13" t="s">
        <v>57</v>
      </c>
    </row>
    <row r="14" spans="1:5" x14ac:dyDescent="0.25">
      <c r="A14">
        <v>50012</v>
      </c>
      <c r="B14" t="s">
        <v>58</v>
      </c>
      <c r="C14" t="s">
        <v>59</v>
      </c>
      <c r="D14" s="2">
        <v>4048830287</v>
      </c>
      <c r="E14" t="s">
        <v>60</v>
      </c>
    </row>
    <row r="15" spans="1:5" x14ac:dyDescent="0.25">
      <c r="A15">
        <v>50013</v>
      </c>
      <c r="B15" t="s">
        <v>61</v>
      </c>
      <c r="C15" t="s">
        <v>62</v>
      </c>
      <c r="D15" s="2">
        <v>4119454567</v>
      </c>
      <c r="E15" t="s">
        <v>63</v>
      </c>
    </row>
    <row r="16" spans="1:5" x14ac:dyDescent="0.25">
      <c r="A16">
        <v>50014</v>
      </c>
      <c r="B16" t="s">
        <v>64</v>
      </c>
      <c r="C16" t="s">
        <v>65</v>
      </c>
      <c r="D16" s="2">
        <v>914855105326</v>
      </c>
      <c r="E16" t="s">
        <v>66</v>
      </c>
    </row>
    <row r="17" spans="1:5" x14ac:dyDescent="0.25">
      <c r="A17">
        <v>50015</v>
      </c>
      <c r="B17" t="s">
        <v>67</v>
      </c>
      <c r="C17" t="s">
        <v>68</v>
      </c>
      <c r="D17" s="2">
        <v>1900185107</v>
      </c>
      <c r="E17" t="s">
        <v>69</v>
      </c>
    </row>
    <row r="18" spans="1:5" x14ac:dyDescent="0.25">
      <c r="A18">
        <v>50016</v>
      </c>
      <c r="B18" t="s">
        <v>70</v>
      </c>
      <c r="C18" t="s">
        <v>71</v>
      </c>
      <c r="D18" s="2">
        <v>3041305936</v>
      </c>
      <c r="E18" t="s">
        <v>72</v>
      </c>
    </row>
    <row r="19" spans="1:5" x14ac:dyDescent="0.25">
      <c r="A19">
        <v>50017</v>
      </c>
      <c r="B19" t="s">
        <v>73</v>
      </c>
      <c r="C19" t="s">
        <v>74</v>
      </c>
      <c r="D19" s="2">
        <v>6808530618</v>
      </c>
      <c r="E19" t="s">
        <v>75</v>
      </c>
    </row>
    <row r="20" spans="1:5" x14ac:dyDescent="0.25">
      <c r="A20">
        <v>50018</v>
      </c>
      <c r="B20" t="s">
        <v>76</v>
      </c>
      <c r="C20" t="s">
        <v>77</v>
      </c>
      <c r="D20" s="2">
        <v>5445705736</v>
      </c>
      <c r="E20" t="s">
        <v>78</v>
      </c>
    </row>
    <row r="21" spans="1:5" x14ac:dyDescent="0.25">
      <c r="A21">
        <v>50019</v>
      </c>
      <c r="B21" t="s">
        <v>79</v>
      </c>
      <c r="C21" t="s">
        <v>80</v>
      </c>
      <c r="D21" s="2">
        <v>5740386198</v>
      </c>
      <c r="E21" t="s">
        <v>81</v>
      </c>
    </row>
    <row r="22" spans="1:5" x14ac:dyDescent="0.25">
      <c r="A22">
        <v>50020</v>
      </c>
      <c r="B22" t="s">
        <v>82</v>
      </c>
      <c r="C22" t="s">
        <v>83</v>
      </c>
      <c r="D22" s="2">
        <v>6928765928</v>
      </c>
      <c r="E22" t="s">
        <v>84</v>
      </c>
    </row>
    <row r="23" spans="1:5" x14ac:dyDescent="0.25">
      <c r="A23">
        <v>50021</v>
      </c>
      <c r="B23" t="s">
        <v>85</v>
      </c>
      <c r="C23" t="s">
        <v>86</v>
      </c>
      <c r="D23" s="2">
        <v>4017039054</v>
      </c>
      <c r="E23" t="s">
        <v>87</v>
      </c>
    </row>
    <row r="24" spans="1:5" x14ac:dyDescent="0.25">
      <c r="A24">
        <v>50022</v>
      </c>
      <c r="B24" t="s">
        <v>88</v>
      </c>
      <c r="C24" t="s">
        <v>89</v>
      </c>
      <c r="D24" s="2">
        <v>5738001814</v>
      </c>
      <c r="E24" t="s">
        <v>90</v>
      </c>
    </row>
    <row r="25" spans="1:5" x14ac:dyDescent="0.25">
      <c r="A25">
        <v>50023</v>
      </c>
      <c r="B25" t="s">
        <v>91</v>
      </c>
      <c r="C25" t="s">
        <v>92</v>
      </c>
      <c r="D25" s="2">
        <v>5812986196</v>
      </c>
      <c r="E25" t="s">
        <v>93</v>
      </c>
    </row>
    <row r="26" spans="1:5" x14ac:dyDescent="0.25">
      <c r="A26">
        <v>50024</v>
      </c>
      <c r="B26" t="s">
        <v>94</v>
      </c>
      <c r="C26" t="s">
        <v>95</v>
      </c>
      <c r="D26" s="2">
        <v>2283666274</v>
      </c>
      <c r="E26" t="s">
        <v>96</v>
      </c>
    </row>
    <row r="27" spans="1:5" x14ac:dyDescent="0.25">
      <c r="A27">
        <v>50025</v>
      </c>
      <c r="B27" t="s">
        <v>97</v>
      </c>
      <c r="C27" t="s">
        <v>98</v>
      </c>
      <c r="D27" s="2">
        <v>7924439901</v>
      </c>
      <c r="E27" t="s">
        <v>99</v>
      </c>
    </row>
    <row r="28" spans="1:5" x14ac:dyDescent="0.25">
      <c r="A28">
        <v>50026</v>
      </c>
      <c r="B28" t="s">
        <v>100</v>
      </c>
      <c r="C28" t="s">
        <v>101</v>
      </c>
      <c r="D28" s="2">
        <v>1832110097</v>
      </c>
      <c r="E28" t="s">
        <v>102</v>
      </c>
    </row>
    <row r="29" spans="1:5" x14ac:dyDescent="0.25">
      <c r="A29">
        <v>50027</v>
      </c>
      <c r="B29" t="s">
        <v>103</v>
      </c>
      <c r="C29" t="s">
        <v>104</v>
      </c>
      <c r="D29" s="2">
        <v>2824959275</v>
      </c>
      <c r="E29" t="s">
        <v>105</v>
      </c>
    </row>
    <row r="30" spans="1:5" x14ac:dyDescent="0.25">
      <c r="A30">
        <v>50028</v>
      </c>
      <c r="B30" t="s">
        <v>106</v>
      </c>
      <c r="C30" t="s">
        <v>107</v>
      </c>
      <c r="D30" s="2">
        <v>6199974657</v>
      </c>
      <c r="E30" t="s">
        <v>108</v>
      </c>
    </row>
    <row r="31" spans="1:5" x14ac:dyDescent="0.25">
      <c r="A31">
        <v>50029</v>
      </c>
      <c r="B31" t="s">
        <v>109</v>
      </c>
      <c r="C31" t="s">
        <v>110</v>
      </c>
      <c r="D31" s="2">
        <v>912160641162</v>
      </c>
      <c r="E31" t="s">
        <v>111</v>
      </c>
    </row>
    <row r="32" spans="1:5" x14ac:dyDescent="0.25">
      <c r="A32">
        <v>50030</v>
      </c>
      <c r="B32" t="s">
        <v>112</v>
      </c>
      <c r="C32" t="s">
        <v>113</v>
      </c>
      <c r="D32" s="2">
        <v>3891563347</v>
      </c>
      <c r="E32" t="s">
        <v>114</v>
      </c>
    </row>
    <row r="33" spans="1:5" x14ac:dyDescent="0.25">
      <c r="A33">
        <v>50031</v>
      </c>
      <c r="B33" t="s">
        <v>115</v>
      </c>
      <c r="C33" t="s">
        <v>116</v>
      </c>
      <c r="D33" s="2">
        <v>33162115</v>
      </c>
      <c r="E33" t="s">
        <v>117</v>
      </c>
    </row>
    <row r="34" spans="1:5" x14ac:dyDescent="0.25">
      <c r="A34">
        <v>50032</v>
      </c>
      <c r="B34" t="s">
        <v>118</v>
      </c>
      <c r="C34" t="s">
        <v>119</v>
      </c>
      <c r="D34" s="2">
        <v>4358731824</v>
      </c>
      <c r="E34" t="s">
        <v>120</v>
      </c>
    </row>
    <row r="35" spans="1:5" x14ac:dyDescent="0.25">
      <c r="A35">
        <v>50033</v>
      </c>
      <c r="B35" t="s">
        <v>121</v>
      </c>
      <c r="C35" t="s">
        <v>122</v>
      </c>
      <c r="D35" s="2">
        <v>911717739824</v>
      </c>
      <c r="E35" t="s">
        <v>123</v>
      </c>
    </row>
    <row r="36" spans="1:5" x14ac:dyDescent="0.25">
      <c r="A36">
        <v>50034</v>
      </c>
      <c r="B36" t="s">
        <v>124</v>
      </c>
      <c r="C36" t="s">
        <v>125</v>
      </c>
      <c r="D36" s="2">
        <v>8039427858</v>
      </c>
      <c r="E36" t="s">
        <v>126</v>
      </c>
    </row>
    <row r="37" spans="1:5" x14ac:dyDescent="0.25">
      <c r="A37">
        <v>50035</v>
      </c>
      <c r="B37" t="s">
        <v>127</v>
      </c>
      <c r="C37" t="s">
        <v>128</v>
      </c>
      <c r="D37" s="2">
        <v>464334563</v>
      </c>
      <c r="E37" t="s">
        <v>129</v>
      </c>
    </row>
    <row r="38" spans="1:5" x14ac:dyDescent="0.25">
      <c r="A38">
        <v>50036</v>
      </c>
      <c r="B38" t="s">
        <v>130</v>
      </c>
      <c r="C38" t="s">
        <v>131</v>
      </c>
      <c r="D38" s="2">
        <v>8192115311</v>
      </c>
      <c r="E38" t="s">
        <v>132</v>
      </c>
    </row>
    <row r="39" spans="1:5" x14ac:dyDescent="0.25">
      <c r="A39">
        <v>50037</v>
      </c>
      <c r="B39" t="s">
        <v>133</v>
      </c>
      <c r="C39" t="s">
        <v>134</v>
      </c>
      <c r="D39" s="2">
        <v>469014132</v>
      </c>
      <c r="E39" t="s">
        <v>135</v>
      </c>
    </row>
    <row r="40" spans="1:5" x14ac:dyDescent="0.25">
      <c r="A40">
        <v>50038</v>
      </c>
      <c r="B40" t="s">
        <v>136</v>
      </c>
      <c r="C40" t="s">
        <v>137</v>
      </c>
      <c r="D40" s="2">
        <v>912203167439</v>
      </c>
      <c r="E40" t="s">
        <v>138</v>
      </c>
    </row>
    <row r="41" spans="1:5" x14ac:dyDescent="0.25">
      <c r="A41">
        <v>50039</v>
      </c>
      <c r="B41" t="s">
        <v>139</v>
      </c>
      <c r="C41" t="s">
        <v>140</v>
      </c>
      <c r="D41" s="2">
        <v>914548468483</v>
      </c>
      <c r="E41" t="s">
        <v>141</v>
      </c>
    </row>
    <row r="42" spans="1:5" x14ac:dyDescent="0.25">
      <c r="A42">
        <v>50040</v>
      </c>
      <c r="B42" t="s">
        <v>142</v>
      </c>
      <c r="C42" t="s">
        <v>143</v>
      </c>
      <c r="D42" s="2">
        <v>917898620935</v>
      </c>
      <c r="E42" t="s">
        <v>144</v>
      </c>
    </row>
    <row r="43" spans="1:5" x14ac:dyDescent="0.25">
      <c r="A43">
        <v>50041</v>
      </c>
      <c r="B43" t="s">
        <v>145</v>
      </c>
      <c r="C43" t="s">
        <v>146</v>
      </c>
      <c r="D43" s="2">
        <v>7365997198</v>
      </c>
      <c r="E43" t="s">
        <v>147</v>
      </c>
    </row>
    <row r="44" spans="1:5" x14ac:dyDescent="0.25">
      <c r="A44">
        <v>50042</v>
      </c>
      <c r="B44" t="s">
        <v>148</v>
      </c>
      <c r="C44" t="s">
        <v>149</v>
      </c>
      <c r="D44" s="2">
        <v>916678817626</v>
      </c>
      <c r="E44" t="s">
        <v>150</v>
      </c>
    </row>
    <row r="45" spans="1:5" x14ac:dyDescent="0.25">
      <c r="A45">
        <v>50043</v>
      </c>
      <c r="B45" t="s">
        <v>151</v>
      </c>
      <c r="C45" t="s">
        <v>152</v>
      </c>
      <c r="D45" s="2">
        <v>9009274145</v>
      </c>
      <c r="E45" t="s">
        <v>153</v>
      </c>
    </row>
    <row r="46" spans="1:5" x14ac:dyDescent="0.25">
      <c r="A46">
        <v>50044</v>
      </c>
      <c r="B46" t="s">
        <v>154</v>
      </c>
      <c r="C46" t="s">
        <v>155</v>
      </c>
      <c r="D46" s="2">
        <v>2840735332</v>
      </c>
      <c r="E46" t="s">
        <v>156</v>
      </c>
    </row>
    <row r="47" spans="1:5" x14ac:dyDescent="0.25">
      <c r="A47">
        <v>50045</v>
      </c>
      <c r="B47" t="s">
        <v>157</v>
      </c>
      <c r="C47" t="s">
        <v>158</v>
      </c>
      <c r="D47" s="2">
        <v>8803476034</v>
      </c>
      <c r="E47" t="s">
        <v>159</v>
      </c>
    </row>
    <row r="48" spans="1:5" x14ac:dyDescent="0.25">
      <c r="A48">
        <v>50046</v>
      </c>
      <c r="B48" t="s">
        <v>160</v>
      </c>
      <c r="C48" t="s">
        <v>161</v>
      </c>
      <c r="D48" s="2">
        <v>9622604915</v>
      </c>
      <c r="E48" t="s">
        <v>162</v>
      </c>
    </row>
    <row r="49" spans="1:5" x14ac:dyDescent="0.25">
      <c r="A49">
        <v>50047</v>
      </c>
      <c r="B49" t="s">
        <v>163</v>
      </c>
      <c r="C49" t="s">
        <v>164</v>
      </c>
      <c r="D49" s="2">
        <v>6161739995</v>
      </c>
      <c r="E49" t="s">
        <v>165</v>
      </c>
    </row>
    <row r="50" spans="1:5" x14ac:dyDescent="0.25">
      <c r="A50">
        <v>50048</v>
      </c>
      <c r="B50" t="s">
        <v>166</v>
      </c>
      <c r="C50" t="s">
        <v>167</v>
      </c>
      <c r="D50" s="2">
        <v>8266420902</v>
      </c>
      <c r="E50" t="s">
        <v>168</v>
      </c>
    </row>
    <row r="51" spans="1:5" x14ac:dyDescent="0.25">
      <c r="A51">
        <v>50049</v>
      </c>
      <c r="B51" t="s">
        <v>169</v>
      </c>
      <c r="C51" t="s">
        <v>170</v>
      </c>
      <c r="D51" s="2">
        <v>8657438853</v>
      </c>
      <c r="E51" t="s">
        <v>171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Invoice</vt:lpstr>
      <vt:lpstr>Customer Data</vt:lpstr>
      <vt:lpstr>Invoice!Print_Area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Kuldeep Kumar Sharma</cp:lastModifiedBy>
  <cp:lastPrinted>2025-05-01T09:10:46Z</cp:lastPrinted>
  <dcterms:created xsi:type="dcterms:W3CDTF">2025-04-30T11:01:53Z</dcterms:created>
  <dcterms:modified xsi:type="dcterms:W3CDTF">2025-08-24T13:38:24Z</dcterms:modified>
</cp:coreProperties>
</file>