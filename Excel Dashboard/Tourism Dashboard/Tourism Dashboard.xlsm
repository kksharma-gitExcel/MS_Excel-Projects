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hidePivotFieldList="1" defaultThemeVersion="166925"/>
  <mc:AlternateContent xmlns:mc="http://schemas.openxmlformats.org/markup-compatibility/2006">
    <mc:Choice Requires="x15">
      <x15ac:absPath xmlns:x15ac="http://schemas.microsoft.com/office/spreadsheetml/2010/11/ac" url="C:\Users\acer\Desktop\GitHub Project\Excel Projects\Excel Dashboard\Actual Dashboard\Tourism Dashboard\"/>
    </mc:Choice>
  </mc:AlternateContent>
  <xr:revisionPtr revIDLastSave="0" documentId="13_ncr:1_{2EB04D86-D68D-4EDF-A4B5-AED9E61C65AD}" xr6:coauthVersionLast="47" xr6:coauthVersionMax="47" xr10:uidLastSave="{00000000-0000-0000-0000-000000000000}"/>
  <bookViews>
    <workbookView xWindow="-120" yWindow="-120" windowWidth="20730" windowHeight="11160" activeTab="1" xr2:uid="{182B0753-4C81-491B-86BC-F201B69B2ED8}"/>
  </bookViews>
  <sheets>
    <sheet name="Dashboard" sheetId="2" r:id="rId1"/>
    <sheet name="Preparations" sheetId="1" r:id="rId2"/>
  </sheets>
  <definedNames>
    <definedName name="Slicer_Year">#N/A</definedName>
  </definedNames>
  <calcPr calcId="191029"/>
  <pivotCaches>
    <pivotCache cacheId="0" r:id="rId3"/>
    <pivotCache cacheId="1" r:id="rId4"/>
    <pivotCache cacheId="2" r:id="rId5"/>
    <pivotCache cacheId="3" r:id="rId6"/>
    <pivotCache cacheId="4" r:id="rId7"/>
    <pivotCache cacheId="5" r:id="rId8"/>
    <pivotCache cacheId="6" r:id="rId9"/>
    <pivotCache cacheId="7" r:id="rId10"/>
    <pivotCache cacheId="8" r:id="rId11"/>
    <pivotCache cacheId="9" r:id="rId12"/>
  </pivotCaches>
  <extLst>
    <ext xmlns:x14="http://schemas.microsoft.com/office/spreadsheetml/2009/9/main" uri="{876F7934-8845-4945-9796-88D515C7AA90}">
      <x14:pivotCaches>
        <pivotCache cacheId="10" r:id="rId13"/>
      </x14:pivotCaches>
    </ex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ourism_data_94f8ad29-4cf0-4d2e-9d7e-c145e68cd063" name="tourism_data" connection="Query - tourism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3" i="1" l="1" a="1"/>
  <c r="X13" i="1" s="1"/>
  <c r="S13" i="1" a="1"/>
  <c r="S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565335-B9C9-4F53-A6F1-9C1935F38C03}" name="Query - tourism_data" description="Connection to the 'tourism_data' query in the workbook." type="100" refreshedVersion="8" minRefreshableVersion="5">
    <extLst>
      <ext xmlns:x15="http://schemas.microsoft.com/office/spreadsheetml/2010/11/main" uri="{DE250136-89BD-433C-8126-D09CA5730AF9}">
        <x15:connection id="3a25f7dc-d3b5-48b4-ad50-27aa06952279"/>
      </ext>
    </extLst>
  </connection>
  <connection id="2" xr16:uid="{3CC4D52B-506E-4BEE-89A9-7AB1913C421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<sst xmlns="http://schemas.openxmlformats.org/spreadsheetml/2006/main" count="192" uniqueCount="112">
  <si>
    <t>Year</t>
  </si>
  <si>
    <t>Grand Total</t>
  </si>
  <si>
    <t>Continent</t>
  </si>
  <si>
    <t>Africa</t>
  </si>
  <si>
    <t>Asia</t>
  </si>
  <si>
    <t>Central America</t>
  </si>
  <si>
    <t>Europe</t>
  </si>
  <si>
    <t>North America</t>
  </si>
  <si>
    <t>Oceania</t>
  </si>
  <si>
    <t>South America</t>
  </si>
  <si>
    <t>Total Tourists</t>
  </si>
  <si>
    <t>Country</t>
  </si>
  <si>
    <t>Angola</t>
  </si>
  <si>
    <t>Argentina</t>
  </si>
  <si>
    <t>Australia</t>
  </si>
  <si>
    <t>Austria</t>
  </si>
  <si>
    <t>Belgium</t>
  </si>
  <si>
    <t>Bolivia</t>
  </si>
  <si>
    <t>Canada</t>
  </si>
  <si>
    <t>Cape Verde</t>
  </si>
  <si>
    <t>Chile</t>
  </si>
  <si>
    <t>China</t>
  </si>
  <si>
    <t>Colombia</t>
  </si>
  <si>
    <t>Costa Rica</t>
  </si>
  <si>
    <t>Cuba</t>
  </si>
  <si>
    <t>Czech Republic</t>
  </si>
  <si>
    <t>Denmark</t>
  </si>
  <si>
    <t>Ecuador</t>
  </si>
  <si>
    <t>Finland</t>
  </si>
  <si>
    <t>France</t>
  </si>
  <si>
    <t>French Guiana</t>
  </si>
  <si>
    <t>Germany</t>
  </si>
  <si>
    <t>Greece</t>
  </si>
  <si>
    <t>Guatemala</t>
  </si>
  <si>
    <t>Guiana</t>
  </si>
  <si>
    <t>Hungary</t>
  </si>
  <si>
    <t>India</t>
  </si>
  <si>
    <t>Iraque</t>
  </si>
  <si>
    <t>Ireland</t>
  </si>
  <si>
    <t>Israel</t>
  </si>
  <si>
    <t>Italy</t>
  </si>
  <si>
    <t>Japan</t>
  </si>
  <si>
    <t>Mexico</t>
  </si>
  <si>
    <t>Netherlands</t>
  </si>
  <si>
    <t>New Zealand</t>
  </si>
  <si>
    <t>Nigeria</t>
  </si>
  <si>
    <t>Norway</t>
  </si>
  <si>
    <t>Other countries</t>
  </si>
  <si>
    <t>Panama</t>
  </si>
  <si>
    <t>Paraguay</t>
  </si>
  <si>
    <t>Peru</t>
  </si>
  <si>
    <t>Poland</t>
  </si>
  <si>
    <t>Portugal</t>
  </si>
  <si>
    <t>Puerto Rico</t>
  </si>
  <si>
    <t>Republic of Korea</t>
  </si>
  <si>
    <t>Russia</t>
  </si>
  <si>
    <t>Saudi Arabia</t>
  </si>
  <si>
    <t>South Africa</t>
  </si>
  <si>
    <t>Spain</t>
  </si>
  <si>
    <t>Suriname</t>
  </si>
  <si>
    <t>Sweden</t>
  </si>
  <si>
    <t>Switzerland</t>
  </si>
  <si>
    <t>United Kingdom</t>
  </si>
  <si>
    <t>United States</t>
  </si>
  <si>
    <t>Uruguay</t>
  </si>
  <si>
    <t>Venezuela</t>
  </si>
  <si>
    <t>State</t>
  </si>
  <si>
    <t>Acre</t>
  </si>
  <si>
    <t>Amapá</t>
  </si>
  <si>
    <t>Amazonas</t>
  </si>
  <si>
    <t>Bahia</t>
  </si>
  <si>
    <t>Ceará</t>
  </si>
  <si>
    <t>Distrito Federal</t>
  </si>
  <si>
    <t>Mato Grosso do Sul</t>
  </si>
  <si>
    <t>Minas Gerais</t>
  </si>
  <si>
    <t>Other Units of the Federation</t>
  </si>
  <si>
    <t>Pará</t>
  </si>
  <si>
    <t>Paraná</t>
  </si>
  <si>
    <t>Pernambuco</t>
  </si>
  <si>
    <t>Rio de Janeiro</t>
  </si>
  <si>
    <t>Rio Grande do Norte</t>
  </si>
  <si>
    <t>Rio Grande do Sul</t>
  </si>
  <si>
    <t>Roraima</t>
  </si>
  <si>
    <t>Santa Catarina</t>
  </si>
  <si>
    <t>São Paulo</t>
  </si>
  <si>
    <t>Way In</t>
  </si>
  <si>
    <t>Air</t>
  </si>
  <si>
    <t>Land</t>
  </si>
  <si>
    <t>River</t>
  </si>
  <si>
    <t>Sea</t>
  </si>
  <si>
    <t>Seasons</t>
  </si>
  <si>
    <t>Fall</t>
  </si>
  <si>
    <t>Spring</t>
  </si>
  <si>
    <t>Summer</t>
  </si>
  <si>
    <t>Winter</t>
  </si>
  <si>
    <t>Sum of Count</t>
  </si>
  <si>
    <t>May</t>
  </si>
  <si>
    <t>April</t>
  </si>
  <si>
    <t>March</t>
  </si>
  <si>
    <t>Month</t>
  </si>
  <si>
    <t>August</t>
  </si>
  <si>
    <t>December</t>
  </si>
  <si>
    <t>February</t>
  </si>
  <si>
    <t>January</t>
  </si>
  <si>
    <t>July</t>
  </si>
  <si>
    <t>June</t>
  </si>
  <si>
    <t>November</t>
  </si>
  <si>
    <t>October</t>
  </si>
  <si>
    <t>September</t>
  </si>
  <si>
    <t>Top Country with Highest tourists</t>
  </si>
  <si>
    <t>Month with highest tourists</t>
  </si>
  <si>
    <t>Tourism Performance of Brazil from 2005 to 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</si>
</sst>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24"/>
      <color theme="0"/>
      <name val="Bahnschrift"/>
      <family val="2"/>
    </font>
  </fonts>
  <fills count="4">
    <fill>
      <patternFill patternType="none"/>
    </fill>
    <fill>
      <patternFill patternType="gray125"/>
    </fill>
    <fill>
      <patternFill patternType="solid">
        <fgColor theme="9" tint="0.59999389629810485"/>
        <bgColor indexed="64"/>
      </patternFill>
    </fill>
    <fill>
      <patternFill patternType="solid">
        <fgColor theme="9" tint="-0.249977111117893"/>
        <bgColor indexed="64"/>
      </patternFill>
    </fill>
  </fills>
  <borders count="2">
    <border>
      <left/>
      <right/>
      <top/>
      <bottom/>
      <diagonal/>
    </border>
    <border>
      <left/>
      <right/>
      <top/>
      <bottom style="thick">
        <color theme="0"/>
      </bottom>
      <diagonal/>
    </border>
  </borders>
  <cellStyleXfs count="1">
    <xf numFmtId="0" fontId="0" fillId="0" borderId="0"/>
  </cellStyleXfs>
  <cellXfs count="9">
    <xf numFmtId="0" fontId="0" fillId="0" borderId="0" xfId="0"/>
    <xf numFmtId="0" fontId="0" fillId="0" borderId="0" xfId="0" pivotButton="1"/>
    <xf numFmtId="3" fontId="0" fillId="0" borderId="0" xfId="0" applyNumberFormat="1"/>
    <xf numFmtId="10" fontId="0" fillId="0" borderId="0" xfId="0" applyNumberFormat="1"/>
    <xf numFmtId="0" fontId="0" fillId="2" borderId="0" xfId="0" applyFill="1"/>
    <xf numFmtId="3" fontId="0" fillId="2" borderId="0" xfId="0" applyNumberFormat="1" applyFill="1"/>
    <xf numFmtId="0" fontId="0" fillId="3" borderId="0" xfId="0" applyFill="1"/>
    <xf numFmtId="0" fontId="1" fillId="3" borderId="1" xfId="0" applyFont="1" applyFill="1" applyBorder="1"/>
    <xf numFmtId="0" fontId="0" fillId="3" borderId="1" xfId="0" applyFill="1" applyBorder="1"/>
  </cellXfs>
  <cellStyles count="1">
    <cellStyle name="Normal" xfId="0" builtinId="0"/>
  </cellStyles>
  <dxfs count="7">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ont>
        <b/>
        <i val="0"/>
        <color theme="0"/>
      </font>
      <fill>
        <patternFill>
          <bgColor theme="9" tint="-0.499984740745262"/>
        </patternFill>
      </fill>
    </dxf>
    <dxf>
      <font>
        <b/>
        <i val="0"/>
        <color theme="1"/>
      </font>
      <fill>
        <patternFill>
          <bgColor theme="9" tint="0.59996337778862885"/>
        </patternFill>
      </fill>
    </dxf>
  </dxfs>
  <tableStyles count="0" defaultTableStyle="TableStyleMedium2" defaultPivotStyle="PivotStyleLight16"/>
  <colors>
    <mruColors>
      <color rgb="FF264653"/>
      <color rgb="FF48CAE4"/>
      <color rgb="FF023047"/>
      <color rgb="FFED862B"/>
      <color rgb="FFF0A390"/>
      <color rgb="FFEC8C74"/>
      <color rgb="FFE76F51"/>
      <color rgb="FFF4A261"/>
      <color rgb="FFE9C46A"/>
      <color rgb="FF2A9D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sharedStrings" Target="sharedStrings.xml"/><Relationship Id="rId26" Type="http://schemas.openxmlformats.org/officeDocument/2006/relationships/customXml" Target="../customXml/item5.xml"/><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pivotCacheDefinition" Target="pivotCache/pivotCacheDefinition5.xml"/><Relationship Id="rId12" Type="http://schemas.openxmlformats.org/officeDocument/2006/relationships/pivotCacheDefinition" Target="pivotCache/pivotCacheDefinition10.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pivotCacheDefinition" Target="pivotCache/pivotCacheDefinition9.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5" Type="http://schemas.openxmlformats.org/officeDocument/2006/relationships/pivotCacheDefinition" Target="pivotCache/pivotCacheDefinition3.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pivotCacheDefinition" Target="pivotCache/pivotCacheDefinition8.xml"/><Relationship Id="rId19" Type="http://schemas.openxmlformats.org/officeDocument/2006/relationships/sheetMetadata" Target="metadata.xml"/><Relationship Id="rId31" Type="http://schemas.openxmlformats.org/officeDocument/2006/relationships/customXml" Target="../customXml/item10.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microsoft.com/office/2007/relationships/slicerCache" Target="slicerCaches/slicerCache1.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pivotCacheDefinition" Target="pivotCache/pivotCacheDefinition6.xml"/><Relationship Id="rId3"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Dashboard.xlsm]Preparations!TouristByYear</c:name>
    <c:fmtId val="6"/>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Total Tourists By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rgbClr val="6FB69D"/>
            </a:solidFill>
            <a:round/>
          </a:ln>
          <a:effectLst/>
        </c:spPr>
        <c:marker>
          <c:symbol val="circle"/>
          <c:size val="6"/>
          <c:spPr>
            <a:solidFill>
              <a:srgbClr val="1C3E3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FB69D"/>
            </a:solidFill>
            <a:round/>
          </a:ln>
          <a:effectLst/>
        </c:spPr>
        <c:marker>
          <c:symbol val="circle"/>
          <c:size val="6"/>
          <c:spPr>
            <a:solidFill>
              <a:srgbClr val="1C3E3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FB69D"/>
            </a:solidFill>
            <a:round/>
          </a:ln>
          <a:effectLst/>
        </c:spPr>
        <c:marker>
          <c:symbol val="circle"/>
          <c:size val="6"/>
          <c:spPr>
            <a:solidFill>
              <a:srgbClr val="1C3E35"/>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Preparations!$C$3</c:f>
              <c:strCache>
                <c:ptCount val="1"/>
                <c:pt idx="0">
                  <c:v>Total</c:v>
                </c:pt>
              </c:strCache>
            </c:strRef>
          </c:tx>
          <c:spPr>
            <a:ln w="28575" cap="rnd">
              <a:solidFill>
                <a:srgbClr val="6FB69D"/>
              </a:solidFill>
              <a:round/>
            </a:ln>
            <a:effectLst/>
          </c:spPr>
          <c:marker>
            <c:symbol val="circle"/>
            <c:size val="6"/>
            <c:spPr>
              <a:solidFill>
                <a:srgbClr val="1C3E35"/>
              </a:solidFill>
              <a:ln w="9525">
                <a:solidFill>
                  <a:schemeClr val="accent1"/>
                </a:solidFill>
              </a:ln>
              <a:effectLst/>
            </c:spPr>
          </c:marker>
          <c:cat>
            <c:strRef>
              <c:f>Preparations!$B$4:$B$15</c:f>
              <c:strCache>
                <c:ptCount val="11"/>
                <c:pt idx="0">
                  <c:v>2005</c:v>
                </c:pt>
                <c:pt idx="1">
                  <c:v>2006</c:v>
                </c:pt>
                <c:pt idx="2">
                  <c:v>2007</c:v>
                </c:pt>
                <c:pt idx="3">
                  <c:v>2008</c:v>
                </c:pt>
                <c:pt idx="4">
                  <c:v>2009</c:v>
                </c:pt>
                <c:pt idx="5">
                  <c:v>2010</c:v>
                </c:pt>
                <c:pt idx="6">
                  <c:v>2011</c:v>
                </c:pt>
                <c:pt idx="7">
                  <c:v>2012</c:v>
                </c:pt>
                <c:pt idx="8">
                  <c:v>2013</c:v>
                </c:pt>
                <c:pt idx="9">
                  <c:v>2014</c:v>
                </c:pt>
                <c:pt idx="10">
                  <c:v>2015</c:v>
                </c:pt>
              </c:strCache>
            </c:strRef>
          </c:cat>
          <c:val>
            <c:numRef>
              <c:f>Preparations!$C$4:$C$15</c:f>
              <c:numCache>
                <c:formatCode>#,##0</c:formatCode>
                <c:ptCount val="11"/>
                <c:pt idx="0">
                  <c:v>5355476</c:v>
                </c:pt>
                <c:pt idx="1">
                  <c:v>5015959</c:v>
                </c:pt>
                <c:pt idx="2">
                  <c:v>5024461</c:v>
                </c:pt>
                <c:pt idx="3">
                  <c:v>5049536</c:v>
                </c:pt>
                <c:pt idx="4">
                  <c:v>4802091</c:v>
                </c:pt>
                <c:pt idx="5">
                  <c:v>5161239</c:v>
                </c:pt>
                <c:pt idx="6">
                  <c:v>5433104</c:v>
                </c:pt>
                <c:pt idx="7">
                  <c:v>5676657</c:v>
                </c:pt>
                <c:pt idx="8">
                  <c:v>5813128</c:v>
                </c:pt>
                <c:pt idx="9">
                  <c:v>6429684</c:v>
                </c:pt>
                <c:pt idx="10">
                  <c:v>6305696</c:v>
                </c:pt>
              </c:numCache>
            </c:numRef>
          </c:val>
          <c:smooth val="0"/>
          <c:extLst>
            <c:ext xmlns:c16="http://schemas.microsoft.com/office/drawing/2014/chart" uri="{C3380CC4-5D6E-409C-BE32-E72D297353CC}">
              <c16:uniqueId val="{00000000-289A-4275-9F1D-CF433E436967}"/>
            </c:ext>
          </c:extLst>
        </c:ser>
        <c:dLbls>
          <c:showLegendKey val="0"/>
          <c:showVal val="0"/>
          <c:showCatName val="0"/>
          <c:showSerName val="0"/>
          <c:showPercent val="0"/>
          <c:showBubbleSize val="0"/>
        </c:dLbls>
        <c:marker val="1"/>
        <c:smooth val="0"/>
        <c:axId val="1421795344"/>
        <c:axId val="1421800624"/>
      </c:lineChart>
      <c:catAx>
        <c:axId val="142179534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800624"/>
        <c:crosses val="autoZero"/>
        <c:auto val="1"/>
        <c:lblAlgn val="ctr"/>
        <c:lblOffset val="100"/>
        <c:noMultiLvlLbl val="0"/>
      </c:catAx>
      <c:valAx>
        <c:axId val="1421800624"/>
        <c:scaling>
          <c:orientation val="minMax"/>
          <c:min val="4000000"/>
        </c:scaling>
        <c:delete val="0"/>
        <c:axPos val="l"/>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b="1">
                    <a:solidFill>
                      <a:schemeClr val="tx1"/>
                    </a:solidFill>
                  </a:rPr>
                  <a:t>Total Tourists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795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2700"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Dashboard.xlsm]Preparations!TouristByContinent</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Total Tourists By Continent (In Millions)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gradFill flip="none" rotWithShape="1">
            <a:gsLst>
              <a:gs pos="0">
                <a:srgbClr val="134632"/>
              </a:gs>
              <a:gs pos="100000">
                <a:srgbClr val="5B9883"/>
              </a:gs>
            </a:gsLst>
            <a:lin ang="90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134632"/>
              </a:gs>
              <a:gs pos="100000">
                <a:srgbClr val="5B9883"/>
              </a:gs>
            </a:gsLst>
            <a:lin ang="9000000" scaled="0"/>
            <a:tileRect/>
          </a:gradFill>
          <a:ln>
            <a:noFill/>
          </a:ln>
          <a:effectLst/>
        </c:spPr>
        <c:dLbl>
          <c:idx val="0"/>
          <c:layout>
            <c:manualLayout>
              <c:x val="0"/>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134632"/>
              </a:gs>
              <a:gs pos="100000">
                <a:srgbClr val="5B9883"/>
              </a:gs>
            </a:gsLst>
            <a:lin ang="9000000" scaled="0"/>
            <a:tileRect/>
          </a:gradFill>
          <a:ln>
            <a:noFill/>
          </a:ln>
          <a:effectLst/>
        </c:spPr>
      </c:pivotFmt>
      <c:pivotFmt>
        <c:idx val="3"/>
        <c:spPr>
          <a:gradFill flip="none" rotWithShape="1">
            <a:gsLst>
              <a:gs pos="0">
                <a:srgbClr val="134632"/>
              </a:gs>
              <a:gs pos="100000">
                <a:srgbClr val="5B9883"/>
              </a:gs>
            </a:gsLst>
            <a:lin ang="9000000" scaled="0"/>
            <a:tileRect/>
          </a:gradFill>
          <a:ln>
            <a:noFill/>
          </a:ln>
          <a:effectLst/>
        </c:spPr>
      </c:pivotFmt>
      <c:pivotFmt>
        <c:idx val="4"/>
        <c:spPr>
          <a:gradFill flip="none" rotWithShape="1">
            <a:gsLst>
              <a:gs pos="0">
                <a:srgbClr val="134632"/>
              </a:gs>
              <a:gs pos="100000">
                <a:srgbClr val="5B9883"/>
              </a:gs>
            </a:gsLst>
            <a:lin ang="9000000" scaled="0"/>
            <a:tileRect/>
          </a:gradFill>
          <a:ln>
            <a:noFill/>
          </a:ln>
          <a:effectLst/>
        </c:spPr>
      </c:pivotFmt>
      <c:pivotFmt>
        <c:idx val="5"/>
        <c:spPr>
          <a:gradFill flip="none" rotWithShape="1">
            <a:gsLst>
              <a:gs pos="0">
                <a:srgbClr val="134632"/>
              </a:gs>
              <a:gs pos="100000">
                <a:srgbClr val="5B9883"/>
              </a:gs>
            </a:gsLst>
            <a:lin ang="9000000" scaled="0"/>
            <a:tileRect/>
          </a:gradFill>
          <a:ln>
            <a:noFill/>
          </a:ln>
          <a:effectLst/>
        </c:spPr>
      </c:pivotFmt>
      <c:pivotFmt>
        <c:idx val="6"/>
        <c:spPr>
          <a:gradFill flip="none" rotWithShape="1">
            <a:gsLst>
              <a:gs pos="0">
                <a:srgbClr val="134632"/>
              </a:gs>
              <a:gs pos="100000">
                <a:srgbClr val="5B9883"/>
              </a:gs>
            </a:gsLst>
            <a:lin ang="9000000" scaled="0"/>
            <a:tileRect/>
          </a:gradFill>
          <a:ln>
            <a:noFill/>
          </a:ln>
          <a:effectLst/>
        </c:spPr>
      </c:pivotFmt>
      <c:pivotFmt>
        <c:idx val="7"/>
        <c:spPr>
          <a:gradFill flip="none" rotWithShape="1">
            <a:gsLst>
              <a:gs pos="0">
                <a:srgbClr val="134632"/>
              </a:gs>
              <a:gs pos="100000">
                <a:srgbClr val="5B9883"/>
              </a:gs>
            </a:gsLst>
            <a:lin ang="9000000" scaled="0"/>
            <a:tileRect/>
          </a:gradFill>
          <a:ln>
            <a:noFill/>
          </a:ln>
          <a:effectLst/>
        </c:spPr>
      </c:pivotFmt>
      <c:pivotFmt>
        <c:idx val="8"/>
        <c:spPr>
          <a:gradFill flip="none" rotWithShape="1">
            <a:gsLst>
              <a:gs pos="0">
                <a:srgbClr val="134632"/>
              </a:gs>
              <a:gs pos="100000">
                <a:srgbClr val="5B9883"/>
              </a:gs>
            </a:gsLst>
            <a:lin ang="90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0">
                <a:srgbClr val="134632"/>
              </a:gs>
              <a:gs pos="100000">
                <a:srgbClr val="5B9883"/>
              </a:gs>
            </a:gsLst>
            <a:lin ang="9000000" scaled="0"/>
            <a:tileRect/>
          </a:gradFill>
          <a:ln>
            <a:noFill/>
          </a:ln>
          <a:effectLst/>
        </c:spPr>
        <c:dLbl>
          <c:idx val="0"/>
          <c:layout>
            <c:manualLayout>
              <c:x val="0"/>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flip="none" rotWithShape="1">
            <a:gsLst>
              <a:gs pos="0">
                <a:srgbClr val="134632"/>
              </a:gs>
              <a:gs pos="100000">
                <a:srgbClr val="5B9883"/>
              </a:gs>
            </a:gsLst>
            <a:lin ang="9000000" scaled="0"/>
            <a:tileRect/>
          </a:gradFill>
          <a:ln>
            <a:noFill/>
          </a:ln>
          <a:effectLst/>
        </c:spPr>
        <c:marker>
          <c:symbol val="none"/>
        </c:marker>
        <c:dLbl>
          <c:idx val="0"/>
          <c:numFmt formatCode="0.##,,\ &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rgbClr val="134632"/>
              </a:gs>
              <a:gs pos="100000">
                <a:srgbClr val="5B9883"/>
              </a:gs>
            </a:gsLst>
            <a:lin ang="9000000" scaled="0"/>
            <a:tileRect/>
          </a:gradFill>
          <a:ln>
            <a:noFill/>
          </a:ln>
          <a:effectLst/>
        </c:spPr>
        <c:dLbl>
          <c:idx val="0"/>
          <c:layout>
            <c:manualLayout>
              <c:x val="-1.5732363635580843E-16"/>
              <c:y val="-9.2592592592593021E-3"/>
            </c:manualLayout>
          </c:layout>
          <c:numFmt formatCode="0.##,,\ &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Preparations!$F$3</c:f>
              <c:strCache>
                <c:ptCount val="1"/>
                <c:pt idx="0">
                  <c:v>Total</c:v>
                </c:pt>
              </c:strCache>
            </c:strRef>
          </c:tx>
          <c:spPr>
            <a:gradFill flip="none" rotWithShape="1">
              <a:gsLst>
                <a:gs pos="0">
                  <a:srgbClr val="134632"/>
                </a:gs>
                <a:gs pos="100000">
                  <a:srgbClr val="5B9883"/>
                </a:gs>
              </a:gsLst>
              <a:lin ang="9000000" scaled="0"/>
              <a:tileRect/>
            </a:gradFill>
            <a:ln>
              <a:noFill/>
            </a:ln>
            <a:effectLst/>
          </c:spPr>
          <c:invertIfNegative val="0"/>
          <c:dPt>
            <c:idx val="6"/>
            <c:invertIfNegative val="0"/>
            <c:bubble3D val="0"/>
            <c:extLst>
              <c:ext xmlns:c16="http://schemas.microsoft.com/office/drawing/2014/chart" uri="{C3380CC4-5D6E-409C-BE32-E72D297353CC}">
                <c16:uniqueId val="{00000000-19A5-44F4-A0D5-49B63781242E}"/>
              </c:ext>
            </c:extLst>
          </c:dPt>
          <c:dLbls>
            <c:dLbl>
              <c:idx val="6"/>
              <c:layout>
                <c:manualLayout>
                  <c:x val="-1.5732363635580843E-16"/>
                  <c:y val="-9.259259259259302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A5-44F4-A0D5-49B63781242E}"/>
                </c:ext>
              </c:extLst>
            </c:dLbl>
            <c:numFmt formatCode="0.##,,\ &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Preparations!$E$4:$E$11</c:f>
              <c:strCache>
                <c:ptCount val="7"/>
                <c:pt idx="0">
                  <c:v>Africa</c:v>
                </c:pt>
                <c:pt idx="1">
                  <c:v>Asia</c:v>
                </c:pt>
                <c:pt idx="2">
                  <c:v>Central America</c:v>
                </c:pt>
                <c:pt idx="3">
                  <c:v>Europe</c:v>
                </c:pt>
                <c:pt idx="4">
                  <c:v>North America</c:v>
                </c:pt>
                <c:pt idx="5">
                  <c:v>Oceania</c:v>
                </c:pt>
                <c:pt idx="6">
                  <c:v>South America</c:v>
                </c:pt>
              </c:strCache>
            </c:strRef>
          </c:cat>
          <c:val>
            <c:numRef>
              <c:f>Preparations!$F$4:$F$11</c:f>
              <c:numCache>
                <c:formatCode>#,##0</c:formatCode>
                <c:ptCount val="7"/>
                <c:pt idx="0">
                  <c:v>985381</c:v>
                </c:pt>
                <c:pt idx="1">
                  <c:v>2838896</c:v>
                </c:pt>
                <c:pt idx="2">
                  <c:v>503530</c:v>
                </c:pt>
                <c:pt idx="3">
                  <c:v>19315997</c:v>
                </c:pt>
                <c:pt idx="4">
                  <c:v>8651903</c:v>
                </c:pt>
                <c:pt idx="5">
                  <c:v>530580</c:v>
                </c:pt>
                <c:pt idx="6">
                  <c:v>27240744</c:v>
                </c:pt>
              </c:numCache>
            </c:numRef>
          </c:val>
          <c:extLst>
            <c:ext xmlns:c16="http://schemas.microsoft.com/office/drawing/2014/chart" uri="{C3380CC4-5D6E-409C-BE32-E72D297353CC}">
              <c16:uniqueId val="{00000001-19A5-44F4-A0D5-49B63781242E}"/>
            </c:ext>
          </c:extLst>
        </c:ser>
        <c:dLbls>
          <c:dLblPos val="outEnd"/>
          <c:showLegendKey val="0"/>
          <c:showVal val="1"/>
          <c:showCatName val="0"/>
          <c:showSerName val="0"/>
          <c:showPercent val="0"/>
          <c:showBubbleSize val="0"/>
        </c:dLbls>
        <c:gapWidth val="52"/>
        <c:axId val="800494048"/>
        <c:axId val="800509408"/>
      </c:barChart>
      <c:catAx>
        <c:axId val="8004940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b="1">
                    <a:solidFill>
                      <a:schemeClr val="tx1"/>
                    </a:solidFill>
                  </a:rPr>
                  <a:t>Continent</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509408"/>
        <c:crosses val="autoZero"/>
        <c:auto val="1"/>
        <c:lblAlgn val="ctr"/>
        <c:lblOffset val="100"/>
        <c:noMultiLvlLbl val="0"/>
      </c:catAx>
      <c:valAx>
        <c:axId val="800509408"/>
        <c:scaling>
          <c:orientation val="minMax"/>
        </c:scaling>
        <c:delete val="1"/>
        <c:axPos val="l"/>
        <c:numFmt formatCode="#,##0" sourceLinked="1"/>
        <c:majorTickMark val="none"/>
        <c:minorTickMark val="none"/>
        <c:tickLblPos val="nextTo"/>
        <c:crossAx val="800494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Dashboard.xlsm]Preparations!TouristsByCountry</c:name>
    <c:fmtId val="17"/>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Total</a:t>
            </a:r>
            <a:r>
              <a:rPr lang="en-US" b="1" baseline="0">
                <a:solidFill>
                  <a:schemeClr val="tx1"/>
                </a:solidFill>
              </a:rPr>
              <a:t> Tourists by Country (in Millions)</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gradFill>
            <a:gsLst>
              <a:gs pos="0">
                <a:srgbClr val="134632"/>
              </a:gs>
              <a:gs pos="100000">
                <a:srgbClr val="5B9883"/>
              </a:gs>
            </a:gsLst>
            <a:lin ang="9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rgbClr val="134632"/>
              </a:gs>
              <a:gs pos="100000">
                <a:srgbClr val="5B9883"/>
              </a:gs>
            </a:gsLst>
            <a:lin ang="9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134632"/>
              </a:gs>
              <a:gs pos="100000">
                <a:srgbClr val="5B9883"/>
              </a:gs>
            </a:gsLst>
            <a:lin ang="9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Preparations!$I$3</c:f>
              <c:strCache>
                <c:ptCount val="1"/>
                <c:pt idx="0">
                  <c:v>Total</c:v>
                </c:pt>
              </c:strCache>
            </c:strRef>
          </c:tx>
          <c:spPr>
            <a:gradFill>
              <a:gsLst>
                <a:gs pos="0">
                  <a:srgbClr val="134632"/>
                </a:gs>
                <a:gs pos="100000">
                  <a:srgbClr val="5B9883"/>
                </a:gs>
              </a:gsLst>
              <a:lin ang="9000000" scaled="0"/>
            </a:gradFill>
            <a:ln>
              <a:noFill/>
            </a:ln>
            <a:effectLst/>
          </c:spPr>
          <c:invertIfNegative val="0"/>
          <c:cat>
            <c:strRef>
              <c:f>Preparations!$H$4:$H$57</c:f>
              <c:strCache>
                <c:ptCount val="54"/>
                <c:pt idx="0">
                  <c:v>Angola</c:v>
                </c:pt>
                <c:pt idx="1">
                  <c:v>Argentina</c:v>
                </c:pt>
                <c:pt idx="2">
                  <c:v>Australia</c:v>
                </c:pt>
                <c:pt idx="3">
                  <c:v>Austria</c:v>
                </c:pt>
                <c:pt idx="4">
                  <c:v>Belgium</c:v>
                </c:pt>
                <c:pt idx="5">
                  <c:v>Bolivia</c:v>
                </c:pt>
                <c:pt idx="6">
                  <c:v>Canada</c:v>
                </c:pt>
                <c:pt idx="7">
                  <c:v>Cape Verde</c:v>
                </c:pt>
                <c:pt idx="8">
                  <c:v>Chile</c:v>
                </c:pt>
                <c:pt idx="9">
                  <c:v>China</c:v>
                </c:pt>
                <c:pt idx="10">
                  <c:v>Colombia</c:v>
                </c:pt>
                <c:pt idx="11">
                  <c:v>Costa Rica</c:v>
                </c:pt>
                <c:pt idx="12">
                  <c:v>Cuba</c:v>
                </c:pt>
                <c:pt idx="13">
                  <c:v>Czech Republic</c:v>
                </c:pt>
                <c:pt idx="14">
                  <c:v>Denmark</c:v>
                </c:pt>
                <c:pt idx="15">
                  <c:v>Ecuador</c:v>
                </c:pt>
                <c:pt idx="16">
                  <c:v>Finland</c:v>
                </c:pt>
                <c:pt idx="17">
                  <c:v>France</c:v>
                </c:pt>
                <c:pt idx="18">
                  <c:v>French Guiana</c:v>
                </c:pt>
                <c:pt idx="19">
                  <c:v>Germany</c:v>
                </c:pt>
                <c:pt idx="20">
                  <c:v>Greece</c:v>
                </c:pt>
                <c:pt idx="21">
                  <c:v>Guatemala</c:v>
                </c:pt>
                <c:pt idx="22">
                  <c:v>Guiana</c:v>
                </c:pt>
                <c:pt idx="23">
                  <c:v>Hungary</c:v>
                </c:pt>
                <c:pt idx="24">
                  <c:v>India</c:v>
                </c:pt>
                <c:pt idx="25">
                  <c:v>Iraque</c:v>
                </c:pt>
                <c:pt idx="26">
                  <c:v>Ireland</c:v>
                </c:pt>
                <c:pt idx="27">
                  <c:v>Israel</c:v>
                </c:pt>
                <c:pt idx="28">
                  <c:v>Italy</c:v>
                </c:pt>
                <c:pt idx="29">
                  <c:v>Japan</c:v>
                </c:pt>
                <c:pt idx="30">
                  <c:v>Mexico</c:v>
                </c:pt>
                <c:pt idx="31">
                  <c:v>Netherlands</c:v>
                </c:pt>
                <c:pt idx="32">
                  <c:v>New Zealand</c:v>
                </c:pt>
                <c:pt idx="33">
                  <c:v>Nigeria</c:v>
                </c:pt>
                <c:pt idx="34">
                  <c:v>Norway</c:v>
                </c:pt>
                <c:pt idx="35">
                  <c:v>Other countries</c:v>
                </c:pt>
                <c:pt idx="36">
                  <c:v>Panama</c:v>
                </c:pt>
                <c:pt idx="37">
                  <c:v>Paraguay</c:v>
                </c:pt>
                <c:pt idx="38">
                  <c:v>Peru</c:v>
                </c:pt>
                <c:pt idx="39">
                  <c:v>Poland</c:v>
                </c:pt>
                <c:pt idx="40">
                  <c:v>Portugal</c:v>
                </c:pt>
                <c:pt idx="41">
                  <c:v>Puerto Rico</c:v>
                </c:pt>
                <c:pt idx="42">
                  <c:v>Republic of Korea</c:v>
                </c:pt>
                <c:pt idx="43">
                  <c:v>Russia</c:v>
                </c:pt>
                <c:pt idx="44">
                  <c:v>Saudi Arabia</c:v>
                </c:pt>
                <c:pt idx="45">
                  <c:v>South Africa</c:v>
                </c:pt>
                <c:pt idx="46">
                  <c:v>Spain</c:v>
                </c:pt>
                <c:pt idx="47">
                  <c:v>Suriname</c:v>
                </c:pt>
                <c:pt idx="48">
                  <c:v>Sweden</c:v>
                </c:pt>
                <c:pt idx="49">
                  <c:v>Switzerland</c:v>
                </c:pt>
                <c:pt idx="50">
                  <c:v>United Kingdom</c:v>
                </c:pt>
                <c:pt idx="51">
                  <c:v>United States</c:v>
                </c:pt>
                <c:pt idx="52">
                  <c:v>Uruguay</c:v>
                </c:pt>
                <c:pt idx="53">
                  <c:v>Venezuela</c:v>
                </c:pt>
              </c:strCache>
            </c:strRef>
          </c:cat>
          <c:val>
            <c:numRef>
              <c:f>Preparations!$I$4:$I$57</c:f>
              <c:numCache>
                <c:formatCode>#,##0</c:formatCode>
                <c:ptCount val="54"/>
                <c:pt idx="0">
                  <c:v>375484</c:v>
                </c:pt>
                <c:pt idx="1">
                  <c:v>15276088</c:v>
                </c:pt>
                <c:pt idx="2">
                  <c:v>431274</c:v>
                </c:pt>
                <c:pt idx="3">
                  <c:v>277187</c:v>
                </c:pt>
                <c:pt idx="4">
                  <c:v>368504</c:v>
                </c:pt>
                <c:pt idx="5">
                  <c:v>949259</c:v>
                </c:pt>
                <c:pt idx="6">
                  <c:v>745105</c:v>
                </c:pt>
                <c:pt idx="7">
                  <c:v>50562</c:v>
                </c:pt>
                <c:pt idx="8">
                  <c:v>2597321</c:v>
                </c:pt>
                <c:pt idx="9">
                  <c:v>470885</c:v>
                </c:pt>
                <c:pt idx="10">
                  <c:v>989476</c:v>
                </c:pt>
                <c:pt idx="11">
                  <c:v>110203</c:v>
                </c:pt>
                <c:pt idx="12">
                  <c:v>37962</c:v>
                </c:pt>
                <c:pt idx="13">
                  <c:v>57715</c:v>
                </c:pt>
                <c:pt idx="14">
                  <c:v>253774</c:v>
                </c:pt>
                <c:pt idx="15">
                  <c:v>298954</c:v>
                </c:pt>
                <c:pt idx="16">
                  <c:v>172541</c:v>
                </c:pt>
                <c:pt idx="17">
                  <c:v>2608172</c:v>
                </c:pt>
                <c:pt idx="18">
                  <c:v>117087</c:v>
                </c:pt>
                <c:pt idx="19">
                  <c:v>2766737</c:v>
                </c:pt>
                <c:pt idx="20">
                  <c:v>97602</c:v>
                </c:pt>
                <c:pt idx="21">
                  <c:v>46919</c:v>
                </c:pt>
                <c:pt idx="22">
                  <c:v>47333</c:v>
                </c:pt>
                <c:pt idx="23">
                  <c:v>76211</c:v>
                </c:pt>
                <c:pt idx="24">
                  <c:v>164925</c:v>
                </c:pt>
                <c:pt idx="25">
                  <c:v>267</c:v>
                </c:pt>
                <c:pt idx="26">
                  <c:v>191732</c:v>
                </c:pt>
                <c:pt idx="27">
                  <c:v>384231</c:v>
                </c:pt>
                <c:pt idx="28">
                  <c:v>2748811</c:v>
                </c:pt>
                <c:pt idx="29">
                  <c:v>792064</c:v>
                </c:pt>
                <c:pt idx="30">
                  <c:v>818466</c:v>
                </c:pt>
                <c:pt idx="31">
                  <c:v>876268</c:v>
                </c:pt>
                <c:pt idx="32">
                  <c:v>96857</c:v>
                </c:pt>
                <c:pt idx="33">
                  <c:v>35920</c:v>
                </c:pt>
                <c:pt idx="34">
                  <c:v>320350</c:v>
                </c:pt>
                <c:pt idx="35">
                  <c:v>1619881</c:v>
                </c:pt>
                <c:pt idx="36">
                  <c:v>92891</c:v>
                </c:pt>
                <c:pt idx="37">
                  <c:v>2556167</c:v>
                </c:pt>
                <c:pt idx="38">
                  <c:v>981978</c:v>
                </c:pt>
                <c:pt idx="39">
                  <c:v>205197</c:v>
                </c:pt>
                <c:pt idx="40">
                  <c:v>2385607</c:v>
                </c:pt>
                <c:pt idx="41">
                  <c:v>4405</c:v>
                </c:pt>
                <c:pt idx="42">
                  <c:v>426992</c:v>
                </c:pt>
                <c:pt idx="43">
                  <c:v>175398</c:v>
                </c:pt>
                <c:pt idx="44">
                  <c:v>1628</c:v>
                </c:pt>
                <c:pt idx="45">
                  <c:v>291880</c:v>
                </c:pt>
                <c:pt idx="46">
                  <c:v>2016438</c:v>
                </c:pt>
                <c:pt idx="47">
                  <c:v>40089</c:v>
                </c:pt>
                <c:pt idx="48">
                  <c:v>416730</c:v>
                </c:pt>
                <c:pt idx="49">
                  <c:v>805776</c:v>
                </c:pt>
                <c:pt idx="50">
                  <c:v>1918404</c:v>
                </c:pt>
                <c:pt idx="51">
                  <c:v>7088332</c:v>
                </c:pt>
                <c:pt idx="52">
                  <c:v>2708876</c:v>
                </c:pt>
                <c:pt idx="53">
                  <c:v>678116</c:v>
                </c:pt>
              </c:numCache>
            </c:numRef>
          </c:val>
          <c:extLst>
            <c:ext xmlns:c16="http://schemas.microsoft.com/office/drawing/2014/chart" uri="{C3380CC4-5D6E-409C-BE32-E72D297353CC}">
              <c16:uniqueId val="{00000000-3A19-457A-B6BF-76CAA5E95CC4}"/>
            </c:ext>
          </c:extLst>
        </c:ser>
        <c:dLbls>
          <c:showLegendKey val="0"/>
          <c:showVal val="0"/>
          <c:showCatName val="0"/>
          <c:showSerName val="0"/>
          <c:showPercent val="0"/>
          <c:showBubbleSize val="0"/>
        </c:dLbls>
        <c:gapWidth val="80"/>
        <c:axId val="1421799184"/>
        <c:axId val="102980975"/>
      </c:barChart>
      <c:catAx>
        <c:axId val="14217991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b="1">
                    <a:solidFill>
                      <a:schemeClr val="tx1"/>
                    </a:solidFill>
                  </a:rPr>
                  <a:t>Country</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80975"/>
        <c:crosses val="autoZero"/>
        <c:auto val="1"/>
        <c:lblAlgn val="ctr"/>
        <c:lblOffset val="100"/>
        <c:noMultiLvlLbl val="0"/>
      </c:catAx>
      <c:valAx>
        <c:axId val="102980975"/>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b="1">
                    <a:solidFill>
                      <a:schemeClr val="tx1"/>
                    </a:solidFill>
                  </a:rPr>
                  <a:t>Tourists Population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1799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Dashboard.xlsm]Preparations!TouristsByBrazilianState</c:name>
    <c:fmtId val="6"/>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Tourists by Brazilian State </a:t>
            </a:r>
            <a:r>
              <a:rPr lang="en-US" sz="1100" b="1" i="0" u="none" strike="noStrike" kern="1200" spc="0" baseline="0">
                <a:solidFill>
                  <a:schemeClr val="tx1"/>
                </a:solidFill>
              </a:rPr>
              <a:t>(in Millions)</a:t>
            </a:r>
            <a:endParaRPr lang="en-US"/>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gradFill>
            <a:gsLst>
              <a:gs pos="0">
                <a:srgbClr val="134632"/>
              </a:gs>
              <a:gs pos="100000">
                <a:srgbClr val="5B9883"/>
              </a:gs>
            </a:gsLst>
            <a:lin ang="9000000" scaled="0"/>
          </a:gra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rgbClr val="134632"/>
              </a:gs>
              <a:gs pos="100000">
                <a:srgbClr val="5B9883"/>
              </a:gs>
            </a:gsLst>
            <a:lin ang="9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134632"/>
              </a:gs>
              <a:gs pos="100000">
                <a:srgbClr val="5B9883"/>
              </a:gs>
            </a:gsLst>
            <a:lin ang="9000000" scaled="0"/>
          </a:gradFill>
          <a:ln>
            <a:noFill/>
          </a:ln>
          <a:effectLst/>
        </c:spPr>
        <c:marker>
          <c:symbol val="none"/>
        </c:marker>
        <c:dLbl>
          <c:idx val="0"/>
          <c:numFmt formatCode="0.00,,\ &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134632"/>
              </a:gs>
              <a:gs pos="100000">
                <a:srgbClr val="5B9883"/>
              </a:gs>
            </a:gsLst>
            <a:lin ang="9000000" scaled="0"/>
          </a:gradFill>
          <a:ln>
            <a:noFill/>
          </a:ln>
          <a:effectLst/>
        </c:spPr>
        <c:dLbl>
          <c:idx val="0"/>
          <c:layout>
            <c:manualLayout>
              <c:x val="-5.8694043663748341E-3"/>
              <c:y val="6.3914771357906505E-2"/>
            </c:manualLayout>
          </c:layout>
          <c:numFmt formatCode="0.00,,\ &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Preparations!$L$3</c:f>
              <c:strCache>
                <c:ptCount val="1"/>
                <c:pt idx="0">
                  <c:v>Total</c:v>
                </c:pt>
              </c:strCache>
            </c:strRef>
          </c:tx>
          <c:spPr>
            <a:gradFill>
              <a:gsLst>
                <a:gs pos="0">
                  <a:srgbClr val="134632"/>
                </a:gs>
                <a:gs pos="100000">
                  <a:srgbClr val="5B9883"/>
                </a:gs>
              </a:gsLst>
              <a:lin ang="9000000" scaled="0"/>
            </a:gradFill>
            <a:ln>
              <a:noFill/>
            </a:ln>
            <a:effectLst/>
          </c:spPr>
          <c:invertIfNegative val="0"/>
          <c:dPt>
            <c:idx val="17"/>
            <c:invertIfNegative val="0"/>
            <c:bubble3D val="0"/>
            <c:extLst>
              <c:ext xmlns:c16="http://schemas.microsoft.com/office/drawing/2014/chart" uri="{C3380CC4-5D6E-409C-BE32-E72D297353CC}">
                <c16:uniqueId val="{00000001-6E19-424B-8AB7-39472472D6DE}"/>
              </c:ext>
            </c:extLst>
          </c:dPt>
          <c:dLbls>
            <c:dLbl>
              <c:idx val="17"/>
              <c:layout>
                <c:manualLayout>
                  <c:x val="-5.8694043663748341E-3"/>
                  <c:y val="6.391477135790650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E19-424B-8AB7-39472472D6DE}"/>
                </c:ext>
              </c:extLst>
            </c:dLbl>
            <c:numFmt formatCode="0.00,,\ &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Preparations!$K$4:$K$22</c:f>
              <c:strCache>
                <c:ptCount val="18"/>
                <c:pt idx="0">
                  <c:v>Acre</c:v>
                </c:pt>
                <c:pt idx="1">
                  <c:v>Amapá</c:v>
                </c:pt>
                <c:pt idx="2">
                  <c:v>Amazonas</c:v>
                </c:pt>
                <c:pt idx="3">
                  <c:v>Bahia</c:v>
                </c:pt>
                <c:pt idx="4">
                  <c:v>Ceará</c:v>
                </c:pt>
                <c:pt idx="5">
                  <c:v>Distrito Federal</c:v>
                </c:pt>
                <c:pt idx="6">
                  <c:v>Mato Grosso do Sul</c:v>
                </c:pt>
                <c:pt idx="7">
                  <c:v>Minas Gerais</c:v>
                </c:pt>
                <c:pt idx="8">
                  <c:v>Other Units of the Federation</c:v>
                </c:pt>
                <c:pt idx="9">
                  <c:v>Pará</c:v>
                </c:pt>
                <c:pt idx="10">
                  <c:v>Paraná</c:v>
                </c:pt>
                <c:pt idx="11">
                  <c:v>Pernambuco</c:v>
                </c:pt>
                <c:pt idx="12">
                  <c:v>Rio de Janeiro</c:v>
                </c:pt>
                <c:pt idx="13">
                  <c:v>Rio Grande do Norte</c:v>
                </c:pt>
                <c:pt idx="14">
                  <c:v>Rio Grande do Sul</c:v>
                </c:pt>
                <c:pt idx="15">
                  <c:v>Roraima</c:v>
                </c:pt>
                <c:pt idx="16">
                  <c:v>Santa Catarina</c:v>
                </c:pt>
                <c:pt idx="17">
                  <c:v>São Paulo</c:v>
                </c:pt>
              </c:strCache>
            </c:strRef>
          </c:cat>
          <c:val>
            <c:numRef>
              <c:f>Preparations!$L$4:$L$22</c:f>
              <c:numCache>
                <c:formatCode>#,##0</c:formatCode>
                <c:ptCount val="18"/>
                <c:pt idx="0">
                  <c:v>53178</c:v>
                </c:pt>
                <c:pt idx="1">
                  <c:v>39236</c:v>
                </c:pt>
                <c:pt idx="2">
                  <c:v>377679</c:v>
                </c:pt>
                <c:pt idx="3">
                  <c:v>1734923</c:v>
                </c:pt>
                <c:pt idx="4">
                  <c:v>1056075</c:v>
                </c:pt>
                <c:pt idx="5">
                  <c:v>509845</c:v>
                </c:pt>
                <c:pt idx="6">
                  <c:v>579806</c:v>
                </c:pt>
                <c:pt idx="7">
                  <c:v>377519</c:v>
                </c:pt>
                <c:pt idx="8">
                  <c:v>654301</c:v>
                </c:pt>
                <c:pt idx="9">
                  <c:v>203429</c:v>
                </c:pt>
                <c:pt idx="10">
                  <c:v>7655743</c:v>
                </c:pt>
                <c:pt idx="11">
                  <c:v>854243</c:v>
                </c:pt>
                <c:pt idx="12">
                  <c:v>11480791</c:v>
                </c:pt>
                <c:pt idx="13">
                  <c:v>698786</c:v>
                </c:pt>
                <c:pt idx="14">
                  <c:v>8015055</c:v>
                </c:pt>
                <c:pt idx="15">
                  <c:v>70859</c:v>
                </c:pt>
                <c:pt idx="16">
                  <c:v>1538275</c:v>
                </c:pt>
                <c:pt idx="17">
                  <c:v>24167288</c:v>
                </c:pt>
              </c:numCache>
            </c:numRef>
          </c:val>
          <c:extLst>
            <c:ext xmlns:c16="http://schemas.microsoft.com/office/drawing/2014/chart" uri="{C3380CC4-5D6E-409C-BE32-E72D297353CC}">
              <c16:uniqueId val="{00000000-6E19-424B-8AB7-39472472D6DE}"/>
            </c:ext>
          </c:extLst>
        </c:ser>
        <c:dLbls>
          <c:dLblPos val="outEnd"/>
          <c:showLegendKey val="0"/>
          <c:showVal val="1"/>
          <c:showCatName val="0"/>
          <c:showSerName val="0"/>
          <c:showPercent val="0"/>
          <c:showBubbleSize val="0"/>
        </c:dLbls>
        <c:gapWidth val="80"/>
        <c:axId val="9118799"/>
        <c:axId val="9139919"/>
      </c:barChart>
      <c:catAx>
        <c:axId val="9118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139919"/>
        <c:crosses val="autoZero"/>
        <c:auto val="1"/>
        <c:lblAlgn val="ctr"/>
        <c:lblOffset val="100"/>
        <c:noMultiLvlLbl val="0"/>
      </c:catAx>
      <c:valAx>
        <c:axId val="9139919"/>
        <c:scaling>
          <c:orientation val="minMax"/>
          <c:max val="25000000"/>
        </c:scaling>
        <c:delete val="1"/>
        <c:axPos val="b"/>
        <c:numFmt formatCode="#,##0" sourceLinked="1"/>
        <c:majorTickMark val="none"/>
        <c:minorTickMark val="none"/>
        <c:tickLblPos val="nextTo"/>
        <c:crossAx val="9118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lumMod val="50000"/>
        </a:schemeClr>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Dashboard.xlsm]Preparations!TouristsByMode</c:name>
    <c:fmtId val="1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Tourists</a:t>
            </a:r>
            <a:r>
              <a:rPr lang="en-US" b="1" baseline="0">
                <a:solidFill>
                  <a:schemeClr val="tx1"/>
                </a:solidFill>
              </a:rPr>
              <a:t> By Mode of Entry</a:t>
            </a:r>
            <a:endParaRPr lang="en-US" b="1">
              <a:solidFill>
                <a:schemeClr val="tx1"/>
              </a:solidFill>
            </a:endParaRPr>
          </a:p>
        </c:rich>
      </c:tx>
      <c:layout>
        <c:manualLayout>
          <c:xMode val="edge"/>
          <c:yMode val="edge"/>
          <c:x val="0.30083333333333334"/>
          <c:y val="4.990522018081073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3E5F44"/>
          </a:solidFill>
          <a:ln w="25400">
            <a:solidFill>
              <a:schemeClr val="lt1"/>
            </a:solidFill>
          </a:ln>
          <a:effectLst/>
          <a:sp3d contourW="25400">
            <a:contourClr>
              <a:schemeClr val="lt1"/>
            </a:contourClr>
          </a:sp3d>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A4B465"/>
          </a:solidFill>
          <a:ln w="25400">
            <a:solidFill>
              <a:schemeClr val="lt1"/>
            </a:solidFill>
          </a:ln>
          <a:effectLst/>
          <a:sp3d contourW="25400">
            <a:contourClr>
              <a:schemeClr val="lt1"/>
            </a:contourClr>
          </a:sp3d>
        </c:spPr>
        <c:dLbl>
          <c:idx val="0"/>
          <c:layout>
            <c:manualLayout>
              <c:x val="-6.0128171478565182E-2"/>
              <c:y val="-4.0887649460484107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626F47"/>
          </a:solidFill>
          <a:ln w="25400">
            <a:solidFill>
              <a:schemeClr val="lt1"/>
            </a:solidFill>
          </a:ln>
          <a:effectLst/>
          <a:sp3d contourW="25400">
            <a:contourClr>
              <a:schemeClr val="lt1"/>
            </a:contourClr>
          </a:sp3d>
        </c:spPr>
        <c:dLbl>
          <c:idx val="0"/>
          <c:layout>
            <c:manualLayout>
              <c:x val="-4.4759405074365705E-3"/>
              <c:y val="6.6897783610382039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solidFill>
            <a:srgbClr val="F5ECD5"/>
          </a:solidFill>
          <a:ln w="25400">
            <a:solidFill>
              <a:schemeClr val="lt1"/>
            </a:solidFill>
          </a:ln>
          <a:effectLst/>
          <a:sp3d contourW="25400">
            <a:contourClr>
              <a:schemeClr val="lt1"/>
            </a:contourClr>
          </a:sp3d>
        </c:spPr>
        <c:dLbl>
          <c:idx val="0"/>
          <c:layout>
            <c:manualLayout>
              <c:x val="-8.8593175853018374E-2"/>
              <c:y val="-3.9842884222805484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F0BB78"/>
          </a:solidFill>
          <a:ln w="25400">
            <a:solidFill>
              <a:schemeClr val="lt1"/>
            </a:solidFill>
          </a:ln>
          <a:effectLst/>
          <a:sp3d contourW="25400">
            <a:contourClr>
              <a:schemeClr val="lt1"/>
            </a:contourClr>
          </a:sp3d>
        </c:spPr>
        <c:dLbl>
          <c:idx val="0"/>
          <c:layout>
            <c:manualLayout>
              <c:x val="0.10688648293963254"/>
              <c:y val="-3.5213254593175855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3E5F44"/>
          </a:solidFill>
          <a:ln w="25400">
            <a:solidFill>
              <a:schemeClr val="lt1"/>
            </a:solidFill>
          </a:ln>
          <a:effectLst/>
          <a:sp3d contourW="25400">
            <a:contourClr>
              <a:schemeClr val="lt1"/>
            </a:contourClr>
          </a:sp3d>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626F47"/>
          </a:solidFill>
          <a:ln w="25400">
            <a:solidFill>
              <a:schemeClr val="lt1"/>
            </a:solidFill>
          </a:ln>
          <a:effectLst/>
          <a:sp3d contourW="25400">
            <a:contourClr>
              <a:schemeClr val="lt1"/>
            </a:contourClr>
          </a:sp3d>
        </c:spPr>
        <c:dLbl>
          <c:idx val="0"/>
          <c:layout>
            <c:manualLayout>
              <c:x val="-4.4759405074365705E-3"/>
              <c:y val="6.6897783610382039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A4B465"/>
          </a:solidFill>
          <a:ln w="25400">
            <a:solidFill>
              <a:schemeClr val="lt1"/>
            </a:solidFill>
          </a:ln>
          <a:effectLst/>
          <a:sp3d contourW="25400">
            <a:contourClr>
              <a:schemeClr val="lt1"/>
            </a:contourClr>
          </a:sp3d>
        </c:spPr>
        <c:dLbl>
          <c:idx val="0"/>
          <c:layout>
            <c:manualLayout>
              <c:x val="-6.0128171478565182E-2"/>
              <c:y val="-4.0887649460484107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F5ECD5"/>
          </a:solidFill>
          <a:ln w="25400">
            <a:solidFill>
              <a:schemeClr val="lt1"/>
            </a:solidFill>
          </a:ln>
          <a:effectLst/>
          <a:sp3d contourW="25400">
            <a:contourClr>
              <a:schemeClr val="lt1"/>
            </a:contourClr>
          </a:sp3d>
        </c:spPr>
        <c:dLbl>
          <c:idx val="0"/>
          <c:layout>
            <c:manualLayout>
              <c:x val="-8.8593175853018374E-2"/>
              <c:y val="-3.9842884222805484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F0BB78"/>
          </a:solidFill>
          <a:ln w="25400">
            <a:solidFill>
              <a:schemeClr val="lt1"/>
            </a:solidFill>
          </a:ln>
          <a:effectLst/>
          <a:sp3d contourW="25400">
            <a:contourClr>
              <a:schemeClr val="lt1"/>
            </a:contourClr>
          </a:sp3d>
        </c:spPr>
        <c:dLbl>
          <c:idx val="0"/>
          <c:layout>
            <c:manualLayout>
              <c:x val="0.10688648293963254"/>
              <c:y val="-3.5213254593175855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rgbClr val="3E5F44"/>
          </a:solidFill>
          <a:ln w="25400">
            <a:solidFill>
              <a:schemeClr val="lt1"/>
            </a:solidFill>
          </a:ln>
          <a:effectLst/>
          <a:sp3d contourW="25400">
            <a:contourClr>
              <a:schemeClr val="lt1"/>
            </a:contourClr>
          </a:sp3d>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solidFill>
            <a:srgbClr val="626F47"/>
          </a:solidFill>
          <a:ln w="25400">
            <a:solidFill>
              <a:schemeClr val="lt1"/>
            </a:solidFill>
          </a:ln>
          <a:effectLst/>
          <a:sp3d contourW="25400">
            <a:contourClr>
              <a:schemeClr val="lt1"/>
            </a:contourClr>
          </a:sp3d>
        </c:spPr>
        <c:dLbl>
          <c:idx val="0"/>
          <c:layout>
            <c:manualLayout>
              <c:x val="-4.4759405074365705E-3"/>
              <c:y val="6.6897783610382039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rgbClr val="A4B465"/>
          </a:solidFill>
          <a:ln w="25400">
            <a:solidFill>
              <a:schemeClr val="lt1"/>
            </a:solidFill>
          </a:ln>
          <a:effectLst/>
          <a:sp3d contourW="25400">
            <a:contourClr>
              <a:schemeClr val="lt1"/>
            </a:contourClr>
          </a:sp3d>
        </c:spPr>
        <c:dLbl>
          <c:idx val="0"/>
          <c:layout>
            <c:manualLayout>
              <c:x val="-6.0128171478565182E-2"/>
              <c:y val="-4.0887649460484107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rgbClr val="F5ECD5"/>
          </a:solidFill>
          <a:ln w="25400">
            <a:solidFill>
              <a:schemeClr val="lt1"/>
            </a:solidFill>
          </a:ln>
          <a:effectLst/>
          <a:sp3d contourW="25400">
            <a:contourClr>
              <a:schemeClr val="lt1"/>
            </a:contourClr>
          </a:sp3d>
        </c:spPr>
        <c:dLbl>
          <c:idx val="0"/>
          <c:layout>
            <c:manualLayout>
              <c:x val="-8.8593175853018374E-2"/>
              <c:y val="-3.9842884222805484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F0BB78"/>
          </a:solidFill>
          <a:ln w="25400">
            <a:solidFill>
              <a:schemeClr val="lt1"/>
            </a:solidFill>
          </a:ln>
          <a:effectLst/>
          <a:sp3d contourW="25400">
            <a:contourClr>
              <a:schemeClr val="lt1"/>
            </a:contourClr>
          </a:sp3d>
        </c:spPr>
        <c:dLbl>
          <c:idx val="0"/>
          <c:layout>
            <c:manualLayout>
              <c:x val="0.10688648293963254"/>
              <c:y val="-3.5213254593175855E-2"/>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3055555555555558E-2"/>
          <c:y val="0.29236986001749787"/>
          <c:w val="0.81388888888888888"/>
          <c:h val="0.55031131525226018"/>
        </c:manualLayout>
      </c:layout>
      <c:pie3DChart>
        <c:varyColors val="1"/>
        <c:ser>
          <c:idx val="0"/>
          <c:order val="0"/>
          <c:tx>
            <c:strRef>
              <c:f>Preparations!$O$3</c:f>
              <c:strCache>
                <c:ptCount val="1"/>
                <c:pt idx="0">
                  <c:v>Total</c:v>
                </c:pt>
              </c:strCache>
            </c:strRef>
          </c:tx>
          <c:spPr>
            <a:solidFill>
              <a:srgbClr val="3E5F44"/>
            </a:solidFill>
          </c:spPr>
          <c:dPt>
            <c:idx val="0"/>
            <c:bubble3D val="0"/>
            <c:spPr>
              <a:solidFill>
                <a:srgbClr val="626F47"/>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9F-4B23-8613-27A4DF747113}"/>
              </c:ext>
            </c:extLst>
          </c:dPt>
          <c:dPt>
            <c:idx val="1"/>
            <c:bubble3D val="0"/>
            <c:spPr>
              <a:solidFill>
                <a:srgbClr val="A4B465"/>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9F-4B23-8613-27A4DF747113}"/>
              </c:ext>
            </c:extLst>
          </c:dPt>
          <c:dPt>
            <c:idx val="2"/>
            <c:bubble3D val="0"/>
            <c:spPr>
              <a:solidFill>
                <a:srgbClr val="F5ECD5"/>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9F-4B23-8613-27A4DF747113}"/>
              </c:ext>
            </c:extLst>
          </c:dPt>
          <c:dPt>
            <c:idx val="3"/>
            <c:bubble3D val="0"/>
            <c:spPr>
              <a:solidFill>
                <a:srgbClr val="F0BB78"/>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9F-4B23-8613-27A4DF747113}"/>
              </c:ext>
            </c:extLst>
          </c:dPt>
          <c:dLbls>
            <c:dLbl>
              <c:idx val="0"/>
              <c:layout>
                <c:manualLayout>
                  <c:x val="-4.4759405074365705E-3"/>
                  <c:y val="6.689778361038203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39F-4B23-8613-27A4DF747113}"/>
                </c:ext>
              </c:extLst>
            </c:dLbl>
            <c:dLbl>
              <c:idx val="1"/>
              <c:layout>
                <c:manualLayout>
                  <c:x val="-6.0128171478565182E-2"/>
                  <c:y val="-4.088764946048410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39F-4B23-8613-27A4DF747113}"/>
                </c:ext>
              </c:extLst>
            </c:dLbl>
            <c:dLbl>
              <c:idx val="2"/>
              <c:layout>
                <c:manualLayout>
                  <c:x val="-8.8593175853018374E-2"/>
                  <c:y val="-3.984288422280548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39F-4B23-8613-27A4DF747113}"/>
                </c:ext>
              </c:extLst>
            </c:dLbl>
            <c:dLbl>
              <c:idx val="3"/>
              <c:layout>
                <c:manualLayout>
                  <c:x val="0.10688648293963254"/>
                  <c:y val="-3.521325459317585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39F-4B23-8613-27A4DF747113}"/>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Preparations!$N$4:$N$8</c:f>
              <c:strCache>
                <c:ptCount val="4"/>
                <c:pt idx="0">
                  <c:v>Air</c:v>
                </c:pt>
                <c:pt idx="1">
                  <c:v>Land</c:v>
                </c:pt>
                <c:pt idx="2">
                  <c:v>River</c:v>
                </c:pt>
                <c:pt idx="3">
                  <c:v>Sea</c:v>
                </c:pt>
              </c:strCache>
            </c:strRef>
          </c:cat>
          <c:val>
            <c:numRef>
              <c:f>Preparations!$O$4:$O$8</c:f>
              <c:numCache>
                <c:formatCode>#,##0</c:formatCode>
                <c:ptCount val="4"/>
                <c:pt idx="0">
                  <c:v>42762482</c:v>
                </c:pt>
                <c:pt idx="1">
                  <c:v>15818939</c:v>
                </c:pt>
                <c:pt idx="2">
                  <c:v>505533</c:v>
                </c:pt>
                <c:pt idx="3">
                  <c:v>980077</c:v>
                </c:pt>
              </c:numCache>
            </c:numRef>
          </c:val>
          <c:extLst>
            <c:ext xmlns:c16="http://schemas.microsoft.com/office/drawing/2014/chart" uri="{C3380CC4-5D6E-409C-BE32-E72D297353CC}">
              <c16:uniqueId val="{00000008-839F-4B23-8613-27A4DF747113}"/>
            </c:ext>
          </c:extLst>
        </c:ser>
        <c:dLbls>
          <c:dLblPos val="bestFit"/>
          <c:showLegendKey val="0"/>
          <c:showVal val="1"/>
          <c:showCatName val="0"/>
          <c:showSerName val="0"/>
          <c:showPercent val="0"/>
          <c:showBubbleSize val="0"/>
          <c:showLeaderLines val="1"/>
        </c:dLbls>
      </c:pie3DChart>
      <c:spPr>
        <a:noFill/>
        <a:ln>
          <a:noFill/>
        </a:ln>
        <a:effectLst/>
      </c:spPr>
    </c:plotArea>
    <c:legend>
      <c:legendPos val="b"/>
      <c:layout>
        <c:manualLayout>
          <c:xMode val="edge"/>
          <c:yMode val="edge"/>
          <c:x val="0.24320603674540683"/>
          <c:y val="0.88483741615631384"/>
          <c:w val="0.52469903762029746"/>
          <c:h val="7.812554680664916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bg2">
                  <a:lumMod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 Dashboard.xlsm]Preparations!TouristsBySeasonalTrend</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646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A9D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4A2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76F5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8CAE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0A39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ED862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230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2646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2A9D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4A2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E76F5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48CAE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F0A39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ED862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0230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26465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2A9D8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rgbClr val="F4A26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E76F5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48CAE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F0A39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ED862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rgbClr val="0230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a:gsLst>
              <a:gs pos="0">
                <a:srgbClr val="264653"/>
              </a:gs>
              <a:gs pos="100000">
                <a:schemeClr val="accent6">
                  <a:lumMod val="40000"/>
                  <a:lumOff val="6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Preparations!$R$3:$R$4</c:f>
              <c:strCache>
                <c:ptCount val="1"/>
                <c:pt idx="0">
                  <c:v>2005</c:v>
                </c:pt>
              </c:strCache>
            </c:strRef>
          </c:tx>
          <c:spPr>
            <a:solidFill>
              <a:srgbClr val="264653"/>
            </a:solidFill>
            <a:ln>
              <a:noFill/>
            </a:ln>
            <a:effectLst/>
          </c:spPr>
          <c:invertIfNegative val="0"/>
          <c:cat>
            <c:strRef>
              <c:f>Preparations!$Q$5:$Q$8</c:f>
              <c:strCache>
                <c:ptCount val="4"/>
                <c:pt idx="0">
                  <c:v>Fall</c:v>
                </c:pt>
                <c:pt idx="1">
                  <c:v>Spring</c:v>
                </c:pt>
                <c:pt idx="2">
                  <c:v>Summer</c:v>
                </c:pt>
                <c:pt idx="3">
                  <c:v>Winter</c:v>
                </c:pt>
              </c:strCache>
            </c:strRef>
          </c:cat>
          <c:val>
            <c:numRef>
              <c:f>Preparations!$R$5:$R$8</c:f>
              <c:numCache>
                <c:formatCode>#,##0</c:formatCode>
                <c:ptCount val="4"/>
                <c:pt idx="0">
                  <c:v>1156879</c:v>
                </c:pt>
                <c:pt idx="1">
                  <c:v>1185330</c:v>
                </c:pt>
                <c:pt idx="2">
                  <c:v>1166561</c:v>
                </c:pt>
                <c:pt idx="3">
                  <c:v>1846706</c:v>
                </c:pt>
              </c:numCache>
            </c:numRef>
          </c:val>
          <c:extLst>
            <c:ext xmlns:c16="http://schemas.microsoft.com/office/drawing/2014/chart" uri="{C3380CC4-5D6E-409C-BE32-E72D297353CC}">
              <c16:uniqueId val="{00000000-B64D-4B1E-B116-3B06232E2D6F}"/>
            </c:ext>
          </c:extLst>
        </c:ser>
        <c:ser>
          <c:idx val="1"/>
          <c:order val="1"/>
          <c:tx>
            <c:strRef>
              <c:f>Preparations!$S$3:$S$4</c:f>
              <c:strCache>
                <c:ptCount val="1"/>
                <c:pt idx="0">
                  <c:v>2006</c:v>
                </c:pt>
              </c:strCache>
            </c:strRef>
          </c:tx>
          <c:spPr>
            <a:solidFill>
              <a:srgbClr val="2A9D8F"/>
            </a:solidFill>
            <a:ln>
              <a:noFill/>
            </a:ln>
            <a:effectLst/>
          </c:spPr>
          <c:invertIfNegative val="0"/>
          <c:cat>
            <c:strRef>
              <c:f>Preparations!$Q$5:$Q$8</c:f>
              <c:strCache>
                <c:ptCount val="4"/>
                <c:pt idx="0">
                  <c:v>Fall</c:v>
                </c:pt>
                <c:pt idx="1">
                  <c:v>Spring</c:v>
                </c:pt>
                <c:pt idx="2">
                  <c:v>Summer</c:v>
                </c:pt>
                <c:pt idx="3">
                  <c:v>Winter</c:v>
                </c:pt>
              </c:strCache>
            </c:strRef>
          </c:cat>
          <c:val>
            <c:numRef>
              <c:f>Preparations!$S$5:$S$8</c:f>
              <c:numCache>
                <c:formatCode>#,##0</c:formatCode>
                <c:ptCount val="4"/>
                <c:pt idx="0">
                  <c:v>1009176</c:v>
                </c:pt>
                <c:pt idx="1">
                  <c:v>1179807</c:v>
                </c:pt>
                <c:pt idx="2">
                  <c:v>970035</c:v>
                </c:pt>
                <c:pt idx="3">
                  <c:v>1856941</c:v>
                </c:pt>
              </c:numCache>
            </c:numRef>
          </c:val>
          <c:extLst>
            <c:ext xmlns:c16="http://schemas.microsoft.com/office/drawing/2014/chart" uri="{C3380CC4-5D6E-409C-BE32-E72D297353CC}">
              <c16:uniqueId val="{0000005C-19BF-43FC-A6CC-700B35E6C10E}"/>
            </c:ext>
          </c:extLst>
        </c:ser>
        <c:ser>
          <c:idx val="2"/>
          <c:order val="2"/>
          <c:tx>
            <c:strRef>
              <c:f>Preparations!$T$3:$T$4</c:f>
              <c:strCache>
                <c:ptCount val="1"/>
                <c:pt idx="0">
                  <c:v>2007</c:v>
                </c:pt>
              </c:strCache>
            </c:strRef>
          </c:tx>
          <c:spPr>
            <a:solidFill>
              <a:schemeClr val="tx1">
                <a:lumMod val="95000"/>
                <a:lumOff val="5000"/>
              </a:schemeClr>
            </a:solidFill>
            <a:ln>
              <a:noFill/>
            </a:ln>
            <a:effectLst/>
          </c:spPr>
          <c:invertIfNegative val="0"/>
          <c:cat>
            <c:strRef>
              <c:f>Preparations!$Q$5:$Q$8</c:f>
              <c:strCache>
                <c:ptCount val="4"/>
                <c:pt idx="0">
                  <c:v>Fall</c:v>
                </c:pt>
                <c:pt idx="1">
                  <c:v>Spring</c:v>
                </c:pt>
                <c:pt idx="2">
                  <c:v>Summer</c:v>
                </c:pt>
                <c:pt idx="3">
                  <c:v>Winter</c:v>
                </c:pt>
              </c:strCache>
            </c:strRef>
          </c:cat>
          <c:val>
            <c:numRef>
              <c:f>Preparations!$T$5:$T$8</c:f>
              <c:numCache>
                <c:formatCode>#,##0</c:formatCode>
                <c:ptCount val="4"/>
                <c:pt idx="0">
                  <c:v>1043455</c:v>
                </c:pt>
                <c:pt idx="1">
                  <c:v>1126512</c:v>
                </c:pt>
                <c:pt idx="2">
                  <c:v>1044358</c:v>
                </c:pt>
                <c:pt idx="3">
                  <c:v>1810136</c:v>
                </c:pt>
              </c:numCache>
            </c:numRef>
          </c:val>
          <c:extLst>
            <c:ext xmlns:c16="http://schemas.microsoft.com/office/drawing/2014/chart" uri="{C3380CC4-5D6E-409C-BE32-E72D297353CC}">
              <c16:uniqueId val="{0000005D-19BF-43FC-A6CC-700B35E6C10E}"/>
            </c:ext>
          </c:extLst>
        </c:ser>
        <c:ser>
          <c:idx val="3"/>
          <c:order val="3"/>
          <c:tx>
            <c:strRef>
              <c:f>Preparations!$U$3:$U$4</c:f>
              <c:strCache>
                <c:ptCount val="1"/>
                <c:pt idx="0">
                  <c:v>2008</c:v>
                </c:pt>
              </c:strCache>
            </c:strRef>
          </c:tx>
          <c:spPr>
            <a:solidFill>
              <a:srgbClr val="F4A261"/>
            </a:solidFill>
            <a:ln>
              <a:noFill/>
            </a:ln>
            <a:effectLst/>
          </c:spPr>
          <c:invertIfNegative val="0"/>
          <c:cat>
            <c:strRef>
              <c:f>Preparations!$Q$5:$Q$8</c:f>
              <c:strCache>
                <c:ptCount val="4"/>
                <c:pt idx="0">
                  <c:v>Fall</c:v>
                </c:pt>
                <c:pt idx="1">
                  <c:v>Spring</c:v>
                </c:pt>
                <c:pt idx="2">
                  <c:v>Summer</c:v>
                </c:pt>
                <c:pt idx="3">
                  <c:v>Winter</c:v>
                </c:pt>
              </c:strCache>
            </c:strRef>
          </c:cat>
          <c:val>
            <c:numRef>
              <c:f>Preparations!$U$5:$U$8</c:f>
              <c:numCache>
                <c:formatCode>#,##0</c:formatCode>
                <c:ptCount val="4"/>
                <c:pt idx="0">
                  <c:v>1024452</c:v>
                </c:pt>
                <c:pt idx="1">
                  <c:v>1150659</c:v>
                </c:pt>
                <c:pt idx="2">
                  <c:v>1085279</c:v>
                </c:pt>
                <c:pt idx="3">
                  <c:v>1789146</c:v>
                </c:pt>
              </c:numCache>
            </c:numRef>
          </c:val>
          <c:extLst>
            <c:ext xmlns:c16="http://schemas.microsoft.com/office/drawing/2014/chart" uri="{C3380CC4-5D6E-409C-BE32-E72D297353CC}">
              <c16:uniqueId val="{0000005E-19BF-43FC-A6CC-700B35E6C10E}"/>
            </c:ext>
          </c:extLst>
        </c:ser>
        <c:ser>
          <c:idx val="4"/>
          <c:order val="4"/>
          <c:tx>
            <c:strRef>
              <c:f>Preparations!$V$3:$V$4</c:f>
              <c:strCache>
                <c:ptCount val="1"/>
                <c:pt idx="0">
                  <c:v>2009</c:v>
                </c:pt>
              </c:strCache>
            </c:strRef>
          </c:tx>
          <c:spPr>
            <a:solidFill>
              <a:srgbClr val="E76F51"/>
            </a:solidFill>
            <a:ln>
              <a:noFill/>
            </a:ln>
            <a:effectLst/>
          </c:spPr>
          <c:invertIfNegative val="0"/>
          <c:cat>
            <c:strRef>
              <c:f>Preparations!$Q$5:$Q$8</c:f>
              <c:strCache>
                <c:ptCount val="4"/>
                <c:pt idx="0">
                  <c:v>Fall</c:v>
                </c:pt>
                <c:pt idx="1">
                  <c:v>Spring</c:v>
                </c:pt>
                <c:pt idx="2">
                  <c:v>Summer</c:v>
                </c:pt>
                <c:pt idx="3">
                  <c:v>Winter</c:v>
                </c:pt>
              </c:strCache>
            </c:strRef>
          </c:cat>
          <c:val>
            <c:numRef>
              <c:f>Preparations!$V$5:$V$8</c:f>
              <c:numCache>
                <c:formatCode>#,##0</c:formatCode>
                <c:ptCount val="4"/>
                <c:pt idx="0">
                  <c:v>1067567</c:v>
                </c:pt>
                <c:pt idx="1">
                  <c:v>1143417</c:v>
                </c:pt>
                <c:pt idx="2">
                  <c:v>886640</c:v>
                </c:pt>
                <c:pt idx="3">
                  <c:v>1704467</c:v>
                </c:pt>
              </c:numCache>
            </c:numRef>
          </c:val>
          <c:extLst>
            <c:ext xmlns:c16="http://schemas.microsoft.com/office/drawing/2014/chart" uri="{C3380CC4-5D6E-409C-BE32-E72D297353CC}">
              <c16:uniqueId val="{0000005F-19BF-43FC-A6CC-700B35E6C10E}"/>
            </c:ext>
          </c:extLst>
        </c:ser>
        <c:ser>
          <c:idx val="5"/>
          <c:order val="5"/>
          <c:tx>
            <c:strRef>
              <c:f>Preparations!$W$3:$W$4</c:f>
              <c:strCache>
                <c:ptCount val="1"/>
                <c:pt idx="0">
                  <c:v>2010</c:v>
                </c:pt>
              </c:strCache>
            </c:strRef>
          </c:tx>
          <c:spPr>
            <a:solidFill>
              <a:srgbClr val="48CAE4"/>
            </a:solidFill>
            <a:ln>
              <a:noFill/>
            </a:ln>
            <a:effectLst/>
          </c:spPr>
          <c:invertIfNegative val="0"/>
          <c:cat>
            <c:strRef>
              <c:f>Preparations!$Q$5:$Q$8</c:f>
              <c:strCache>
                <c:ptCount val="4"/>
                <c:pt idx="0">
                  <c:v>Fall</c:v>
                </c:pt>
                <c:pt idx="1">
                  <c:v>Spring</c:v>
                </c:pt>
                <c:pt idx="2">
                  <c:v>Summer</c:v>
                </c:pt>
                <c:pt idx="3">
                  <c:v>Winter</c:v>
                </c:pt>
              </c:strCache>
            </c:strRef>
          </c:cat>
          <c:val>
            <c:numRef>
              <c:f>Preparations!$W$5:$W$8</c:f>
              <c:numCache>
                <c:formatCode>#,##0</c:formatCode>
                <c:ptCount val="4"/>
                <c:pt idx="0">
                  <c:v>1131563</c:v>
                </c:pt>
                <c:pt idx="1">
                  <c:v>1166671</c:v>
                </c:pt>
                <c:pt idx="2">
                  <c:v>1027312</c:v>
                </c:pt>
                <c:pt idx="3">
                  <c:v>1835693</c:v>
                </c:pt>
              </c:numCache>
            </c:numRef>
          </c:val>
          <c:extLst>
            <c:ext xmlns:c16="http://schemas.microsoft.com/office/drawing/2014/chart" uri="{C3380CC4-5D6E-409C-BE32-E72D297353CC}">
              <c16:uniqueId val="{00000060-19BF-43FC-A6CC-700B35E6C10E}"/>
            </c:ext>
          </c:extLst>
        </c:ser>
        <c:ser>
          <c:idx val="6"/>
          <c:order val="6"/>
          <c:tx>
            <c:strRef>
              <c:f>Preparations!$X$3:$X$4</c:f>
              <c:strCache>
                <c:ptCount val="1"/>
                <c:pt idx="0">
                  <c:v>2011</c:v>
                </c:pt>
              </c:strCache>
            </c:strRef>
          </c:tx>
          <c:spPr>
            <a:solidFill>
              <a:srgbClr val="F0A390"/>
            </a:solidFill>
            <a:ln>
              <a:noFill/>
            </a:ln>
            <a:effectLst/>
          </c:spPr>
          <c:invertIfNegative val="0"/>
          <c:cat>
            <c:strRef>
              <c:f>Preparations!$Q$5:$Q$8</c:f>
              <c:strCache>
                <c:ptCount val="4"/>
                <c:pt idx="0">
                  <c:v>Fall</c:v>
                </c:pt>
                <c:pt idx="1">
                  <c:v>Spring</c:v>
                </c:pt>
                <c:pt idx="2">
                  <c:v>Summer</c:v>
                </c:pt>
                <c:pt idx="3">
                  <c:v>Winter</c:v>
                </c:pt>
              </c:strCache>
            </c:strRef>
          </c:cat>
          <c:val>
            <c:numRef>
              <c:f>Preparations!$X$5:$X$8</c:f>
              <c:numCache>
                <c:formatCode>#,##0</c:formatCode>
                <c:ptCount val="4"/>
                <c:pt idx="0">
                  <c:v>1239140</c:v>
                </c:pt>
                <c:pt idx="1">
                  <c:v>1287624</c:v>
                </c:pt>
                <c:pt idx="2">
                  <c:v>1081368</c:v>
                </c:pt>
                <c:pt idx="3">
                  <c:v>1824972</c:v>
                </c:pt>
              </c:numCache>
            </c:numRef>
          </c:val>
          <c:extLst>
            <c:ext xmlns:c16="http://schemas.microsoft.com/office/drawing/2014/chart" uri="{C3380CC4-5D6E-409C-BE32-E72D297353CC}">
              <c16:uniqueId val="{00000061-19BF-43FC-A6CC-700B35E6C10E}"/>
            </c:ext>
          </c:extLst>
        </c:ser>
        <c:ser>
          <c:idx val="7"/>
          <c:order val="7"/>
          <c:tx>
            <c:strRef>
              <c:f>Preparations!$Y$3:$Y$4</c:f>
              <c:strCache>
                <c:ptCount val="1"/>
                <c:pt idx="0">
                  <c:v>2012</c:v>
                </c:pt>
              </c:strCache>
            </c:strRef>
          </c:tx>
          <c:spPr>
            <a:solidFill>
              <a:schemeClr val="accent2">
                <a:lumMod val="60000"/>
              </a:schemeClr>
            </a:solidFill>
            <a:ln>
              <a:noFill/>
            </a:ln>
            <a:effectLst/>
          </c:spPr>
          <c:invertIfNegative val="0"/>
          <c:cat>
            <c:strRef>
              <c:f>Preparations!$Q$5:$Q$8</c:f>
              <c:strCache>
                <c:ptCount val="4"/>
                <c:pt idx="0">
                  <c:v>Fall</c:v>
                </c:pt>
                <c:pt idx="1">
                  <c:v>Spring</c:v>
                </c:pt>
                <c:pt idx="2">
                  <c:v>Summer</c:v>
                </c:pt>
                <c:pt idx="3">
                  <c:v>Winter</c:v>
                </c:pt>
              </c:strCache>
            </c:strRef>
          </c:cat>
          <c:val>
            <c:numRef>
              <c:f>Preparations!$Y$5:$Y$8</c:f>
              <c:numCache>
                <c:formatCode>#,##0</c:formatCode>
                <c:ptCount val="4"/>
                <c:pt idx="0">
                  <c:v>1271011</c:v>
                </c:pt>
                <c:pt idx="1">
                  <c:v>1351568</c:v>
                </c:pt>
                <c:pt idx="2">
                  <c:v>1150506</c:v>
                </c:pt>
                <c:pt idx="3">
                  <c:v>1903572</c:v>
                </c:pt>
              </c:numCache>
            </c:numRef>
          </c:val>
          <c:extLst>
            <c:ext xmlns:c16="http://schemas.microsoft.com/office/drawing/2014/chart" uri="{C3380CC4-5D6E-409C-BE32-E72D297353CC}">
              <c16:uniqueId val="{00000062-19BF-43FC-A6CC-700B35E6C10E}"/>
            </c:ext>
          </c:extLst>
        </c:ser>
        <c:ser>
          <c:idx val="8"/>
          <c:order val="8"/>
          <c:tx>
            <c:strRef>
              <c:f>Preparations!$Z$3:$Z$4</c:f>
              <c:strCache>
                <c:ptCount val="1"/>
                <c:pt idx="0">
                  <c:v>2013</c:v>
                </c:pt>
              </c:strCache>
            </c:strRef>
          </c:tx>
          <c:spPr>
            <a:solidFill>
              <a:srgbClr val="ED862B"/>
            </a:solidFill>
            <a:ln>
              <a:noFill/>
            </a:ln>
            <a:effectLst/>
          </c:spPr>
          <c:invertIfNegative val="0"/>
          <c:cat>
            <c:strRef>
              <c:f>Preparations!$Q$5:$Q$8</c:f>
              <c:strCache>
                <c:ptCount val="4"/>
                <c:pt idx="0">
                  <c:v>Fall</c:v>
                </c:pt>
                <c:pt idx="1">
                  <c:v>Spring</c:v>
                </c:pt>
                <c:pt idx="2">
                  <c:v>Summer</c:v>
                </c:pt>
                <c:pt idx="3">
                  <c:v>Winter</c:v>
                </c:pt>
              </c:strCache>
            </c:strRef>
          </c:cat>
          <c:val>
            <c:numRef>
              <c:f>Preparations!$Z$5:$Z$8</c:f>
              <c:numCache>
                <c:formatCode>#,##0</c:formatCode>
                <c:ptCount val="4"/>
                <c:pt idx="0">
                  <c:v>1221620</c:v>
                </c:pt>
                <c:pt idx="1">
                  <c:v>1406709</c:v>
                </c:pt>
                <c:pt idx="2">
                  <c:v>1291457</c:v>
                </c:pt>
                <c:pt idx="3">
                  <c:v>1893342</c:v>
                </c:pt>
              </c:numCache>
            </c:numRef>
          </c:val>
          <c:extLst>
            <c:ext xmlns:c16="http://schemas.microsoft.com/office/drawing/2014/chart" uri="{C3380CC4-5D6E-409C-BE32-E72D297353CC}">
              <c16:uniqueId val="{00000063-19BF-43FC-A6CC-700B35E6C10E}"/>
            </c:ext>
          </c:extLst>
        </c:ser>
        <c:ser>
          <c:idx val="9"/>
          <c:order val="9"/>
          <c:tx>
            <c:strRef>
              <c:f>Preparations!$AA$3:$AA$4</c:f>
              <c:strCache>
                <c:ptCount val="1"/>
                <c:pt idx="0">
                  <c:v>2014</c:v>
                </c:pt>
              </c:strCache>
            </c:strRef>
          </c:tx>
          <c:spPr>
            <a:solidFill>
              <a:srgbClr val="023047"/>
            </a:solidFill>
            <a:ln>
              <a:noFill/>
            </a:ln>
            <a:effectLst/>
          </c:spPr>
          <c:invertIfNegative val="0"/>
          <c:cat>
            <c:strRef>
              <c:f>Preparations!$Q$5:$Q$8</c:f>
              <c:strCache>
                <c:ptCount val="4"/>
                <c:pt idx="0">
                  <c:v>Fall</c:v>
                </c:pt>
                <c:pt idx="1">
                  <c:v>Spring</c:v>
                </c:pt>
                <c:pt idx="2">
                  <c:v>Summer</c:v>
                </c:pt>
                <c:pt idx="3">
                  <c:v>Winter</c:v>
                </c:pt>
              </c:strCache>
            </c:strRef>
          </c:cat>
          <c:val>
            <c:numRef>
              <c:f>Preparations!$AA$5:$AA$8</c:f>
              <c:numCache>
                <c:formatCode>#,##0</c:formatCode>
                <c:ptCount val="4"/>
                <c:pt idx="0">
                  <c:v>1255040</c:v>
                </c:pt>
                <c:pt idx="1">
                  <c:v>1069513</c:v>
                </c:pt>
                <c:pt idx="2">
                  <c:v>2137681</c:v>
                </c:pt>
                <c:pt idx="3">
                  <c:v>1967450</c:v>
                </c:pt>
              </c:numCache>
            </c:numRef>
          </c:val>
          <c:extLst>
            <c:ext xmlns:c16="http://schemas.microsoft.com/office/drawing/2014/chart" uri="{C3380CC4-5D6E-409C-BE32-E72D297353CC}">
              <c16:uniqueId val="{00000064-19BF-43FC-A6CC-700B35E6C10E}"/>
            </c:ext>
          </c:extLst>
        </c:ser>
        <c:ser>
          <c:idx val="10"/>
          <c:order val="10"/>
          <c:tx>
            <c:strRef>
              <c:f>Preparations!$AB$3:$AB$4</c:f>
              <c:strCache>
                <c:ptCount val="1"/>
                <c:pt idx="0">
                  <c:v>2015</c:v>
                </c:pt>
              </c:strCache>
            </c:strRef>
          </c:tx>
          <c:spPr>
            <a:solidFill>
              <a:schemeClr val="accent5">
                <a:lumMod val="60000"/>
              </a:schemeClr>
            </a:solidFill>
            <a:ln>
              <a:noFill/>
            </a:ln>
            <a:effectLst/>
          </c:spPr>
          <c:invertIfNegative val="0"/>
          <c:cat>
            <c:strRef>
              <c:f>Preparations!$Q$5:$Q$8</c:f>
              <c:strCache>
                <c:ptCount val="4"/>
                <c:pt idx="0">
                  <c:v>Fall</c:v>
                </c:pt>
                <c:pt idx="1">
                  <c:v>Spring</c:v>
                </c:pt>
                <c:pt idx="2">
                  <c:v>Summer</c:v>
                </c:pt>
                <c:pt idx="3">
                  <c:v>Winter</c:v>
                </c:pt>
              </c:strCache>
            </c:strRef>
          </c:cat>
          <c:val>
            <c:numRef>
              <c:f>Preparations!$AB$5:$AB$8</c:f>
              <c:numCache>
                <c:formatCode>#,##0</c:formatCode>
                <c:ptCount val="4"/>
                <c:pt idx="0">
                  <c:v>1308768</c:v>
                </c:pt>
                <c:pt idx="1">
                  <c:v>1406791</c:v>
                </c:pt>
                <c:pt idx="2">
                  <c:v>1171054</c:v>
                </c:pt>
                <c:pt idx="3">
                  <c:v>2419083</c:v>
                </c:pt>
              </c:numCache>
            </c:numRef>
          </c:val>
          <c:extLst>
            <c:ext xmlns:c16="http://schemas.microsoft.com/office/drawing/2014/chart" uri="{C3380CC4-5D6E-409C-BE32-E72D297353CC}">
              <c16:uniqueId val="{00000065-19BF-43FC-A6CC-700B35E6C10E}"/>
            </c:ext>
          </c:extLst>
        </c:ser>
        <c:dLbls>
          <c:showLegendKey val="0"/>
          <c:showVal val="0"/>
          <c:showCatName val="0"/>
          <c:showSerName val="0"/>
          <c:showPercent val="0"/>
          <c:showBubbleSize val="0"/>
        </c:dLbls>
        <c:gapWidth val="219"/>
        <c:axId val="9185039"/>
        <c:axId val="9186479"/>
      </c:barChart>
      <c:catAx>
        <c:axId val="91850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Seasons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9186479"/>
        <c:crosses val="autoZero"/>
        <c:auto val="1"/>
        <c:lblAlgn val="ctr"/>
        <c:lblOffset val="100"/>
        <c:noMultiLvlLbl val="0"/>
      </c:catAx>
      <c:valAx>
        <c:axId val="9186479"/>
        <c:scaling>
          <c:orientation val="minMax"/>
        </c:scaling>
        <c:delete val="1"/>
        <c:axPos val="l"/>
        <c:numFmt formatCode="#,##0" sourceLinked="1"/>
        <c:majorTickMark val="none"/>
        <c:minorTickMark val="none"/>
        <c:tickLblPos val="nextTo"/>
        <c:crossAx val="9185039"/>
        <c:crosses val="autoZero"/>
        <c:crossBetween val="between"/>
      </c:valAx>
      <c:spPr>
        <a:noFill/>
        <a:ln>
          <a:noFill/>
        </a:ln>
        <a:effectLst/>
      </c:spPr>
    </c:plotArea>
    <c:legend>
      <c:legendPos val="t"/>
      <c:layout>
        <c:manualLayout>
          <c:xMode val="edge"/>
          <c:yMode val="edge"/>
          <c:x val="0.19230974016376229"/>
          <c:y val="2.742645875827248E-2"/>
          <c:w val="6.0212258860121062E-2"/>
          <c:h val="7.861162525062009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6">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11</xdr:row>
      <xdr:rowOff>0</xdr:rowOff>
    </xdr:from>
    <xdr:to>
      <xdr:col>11</xdr:col>
      <xdr:colOff>498928</xdr:colOff>
      <xdr:row>25</xdr:row>
      <xdr:rowOff>76200</xdr:rowOff>
    </xdr:to>
    <xdr:graphicFrame macro="">
      <xdr:nvGraphicFramePr>
        <xdr:cNvPr id="2" name="TouristsByYear">
          <a:extLst>
            <a:ext uri="{FF2B5EF4-FFF2-40B4-BE49-F238E27FC236}">
              <a16:creationId xmlns:a16="http://schemas.microsoft.com/office/drawing/2014/main" id="{C85F8113-C5C5-4EFD-9F62-FE15BDA71A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529166</xdr:colOff>
      <xdr:row>11</xdr:row>
      <xdr:rowOff>6193</xdr:rowOff>
    </xdr:from>
    <xdr:to>
      <xdr:col>18</xdr:col>
      <xdr:colOff>148999</xdr:colOff>
      <xdr:row>25</xdr:row>
      <xdr:rowOff>75595</xdr:rowOff>
    </xdr:to>
    <xdr:graphicFrame macro="">
      <xdr:nvGraphicFramePr>
        <xdr:cNvPr id="3" name="TouristsByContinent">
          <a:extLst>
            <a:ext uri="{FF2B5EF4-FFF2-40B4-BE49-F238E27FC236}">
              <a16:creationId xmlns:a16="http://schemas.microsoft.com/office/drawing/2014/main" id="{B8BDCF2B-D74C-433C-B8B1-6FC0DC2B3A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0</xdr:colOff>
      <xdr:row>25</xdr:row>
      <xdr:rowOff>127645</xdr:rowOff>
    </xdr:from>
    <xdr:to>
      <xdr:col>14</xdr:col>
      <xdr:colOff>530902</xdr:colOff>
      <xdr:row>46</xdr:row>
      <xdr:rowOff>0</xdr:rowOff>
    </xdr:to>
    <xdr:graphicFrame macro="">
      <xdr:nvGraphicFramePr>
        <xdr:cNvPr id="4" name="TouristsbyCountry">
          <a:extLst>
            <a:ext uri="{FF2B5EF4-FFF2-40B4-BE49-F238E27FC236}">
              <a16:creationId xmlns:a16="http://schemas.microsoft.com/office/drawing/2014/main" id="{5BCDD693-3231-46CB-BBC0-D4E8D0CF37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22</xdr:col>
      <xdr:colOff>387592</xdr:colOff>
      <xdr:row>25</xdr:row>
      <xdr:rowOff>127644</xdr:rowOff>
    </xdr:from>
    <xdr:to>
      <xdr:col>32</xdr:col>
      <xdr:colOff>88374</xdr:colOff>
      <xdr:row>46</xdr:row>
      <xdr:rowOff>3676</xdr:rowOff>
    </xdr:to>
    <xdr:graphicFrame macro="">
      <xdr:nvGraphicFramePr>
        <xdr:cNvPr id="5" name="TouristsbyBrazilianState">
          <a:extLst>
            <a:ext uri="{FF2B5EF4-FFF2-40B4-BE49-F238E27FC236}">
              <a16:creationId xmlns:a16="http://schemas.microsoft.com/office/drawing/2014/main" id="{1BAEA036-8BCA-4AF9-9E08-E4D6B747B2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584314</xdr:colOff>
      <xdr:row>25</xdr:row>
      <xdr:rowOff>127644</xdr:rowOff>
    </xdr:from>
    <xdr:to>
      <xdr:col>22</xdr:col>
      <xdr:colOff>333743</xdr:colOff>
      <xdr:row>46</xdr:row>
      <xdr:rowOff>1936</xdr:rowOff>
    </xdr:to>
    <xdr:graphicFrame macro="">
      <xdr:nvGraphicFramePr>
        <xdr:cNvPr id="6" name="TouristsByModeofEntry">
          <a:extLst>
            <a:ext uri="{FF2B5EF4-FFF2-40B4-BE49-F238E27FC236}">
              <a16:creationId xmlns:a16="http://schemas.microsoft.com/office/drawing/2014/main" id="{332A3574-3709-435A-A29E-D230E9997F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21</xdr:col>
      <xdr:colOff>47625</xdr:colOff>
      <xdr:row>11</xdr:row>
      <xdr:rowOff>6920</xdr:rowOff>
    </xdr:from>
    <xdr:to>
      <xdr:col>32</xdr:col>
      <xdr:colOff>85725</xdr:colOff>
      <xdr:row>25</xdr:row>
      <xdr:rowOff>91319</xdr:rowOff>
    </xdr:to>
    <xdr:graphicFrame macro="">
      <xdr:nvGraphicFramePr>
        <xdr:cNvPr id="7" name="TouristsBySeasonalTrend">
          <a:extLst>
            <a:ext uri="{FF2B5EF4-FFF2-40B4-BE49-F238E27FC236}">
              <a16:creationId xmlns:a16="http://schemas.microsoft.com/office/drawing/2014/main" id="{3E83817E-2CE2-4925-B411-192C80F71E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1373</xdr:colOff>
      <xdr:row>7</xdr:row>
      <xdr:rowOff>38485</xdr:rowOff>
    </xdr:from>
    <xdr:to>
      <xdr:col>15</xdr:col>
      <xdr:colOff>355</xdr:colOff>
      <xdr:row>10</xdr:row>
      <xdr:rowOff>179294</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D46013F9-C63F-4E0C-BCA6-3316C938A32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5147" y="1566079"/>
              <a:ext cx="8553510" cy="7069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15</xdr:col>
      <xdr:colOff>86594</xdr:colOff>
      <xdr:row>7</xdr:row>
      <xdr:rowOff>79896</xdr:rowOff>
    </xdr:from>
    <xdr:to>
      <xdr:col>20</xdr:col>
      <xdr:colOff>691394</xdr:colOff>
      <xdr:row>10</xdr:row>
      <xdr:rowOff>150623</xdr:rowOff>
    </xdr:to>
    <xdr:grpSp>
      <xdr:nvGrpSpPr>
        <xdr:cNvPr id="17" name="Group 16">
          <a:extLst>
            <a:ext uri="{FF2B5EF4-FFF2-40B4-BE49-F238E27FC236}">
              <a16:creationId xmlns:a16="http://schemas.microsoft.com/office/drawing/2014/main" id="{15D79890-22E8-6205-62B4-71C11DC7040E}"/>
            </a:ext>
          </a:extLst>
        </xdr:cNvPr>
        <xdr:cNvGrpSpPr/>
      </xdr:nvGrpSpPr>
      <xdr:grpSpPr>
        <a:xfrm>
          <a:off x="8784896" y="1607490"/>
          <a:ext cx="3354470" cy="636836"/>
          <a:chOff x="10948943" y="300991"/>
          <a:chExt cx="2836800" cy="648000"/>
        </a:xfrm>
      </xdr:grpSpPr>
      <xdr:sp macro="" textlink="Preparations!N12">
        <xdr:nvSpPr>
          <xdr:cNvPr id="9" name="Rectangle 8">
            <a:extLst>
              <a:ext uri="{FF2B5EF4-FFF2-40B4-BE49-F238E27FC236}">
                <a16:creationId xmlns:a16="http://schemas.microsoft.com/office/drawing/2014/main" id="{C7891209-484B-4A3A-7430-37384B047690}"/>
              </a:ext>
            </a:extLst>
          </xdr:cNvPr>
          <xdr:cNvSpPr/>
        </xdr:nvSpPr>
        <xdr:spPr>
          <a:xfrm>
            <a:off x="10948943" y="300991"/>
            <a:ext cx="2836800" cy="648000"/>
          </a:xfrm>
          <a:prstGeom prst="rect">
            <a:avLst/>
          </a:prstGeom>
          <a:solidFill>
            <a:schemeClr val="accent6">
              <a:lumMod val="20000"/>
              <a:lumOff val="80000"/>
            </a:schemeClr>
          </a:solidFill>
          <a:ln w="28575">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541EEACD-CE8B-4FDB-B071-76F5666E601E}" type="TxLink">
              <a:rPr lang="en-US" sz="1400" b="1" i="0" u="none" strike="noStrike">
                <a:solidFill>
                  <a:srgbClr val="000000"/>
                </a:solidFill>
                <a:latin typeface="Calibri"/>
                <a:cs typeface="Calibri"/>
              </a:rPr>
              <a:pPr algn="ctr"/>
              <a:t>6,00,67,031</a:t>
            </a:fld>
            <a:endParaRPr lang="en-US" sz="1400" b="1">
              <a:solidFill>
                <a:schemeClr val="accent6">
                  <a:lumMod val="50000"/>
                </a:schemeClr>
              </a:solidFill>
            </a:endParaRPr>
          </a:p>
        </xdr:txBody>
      </xdr:sp>
      <xdr:sp macro="" textlink="">
        <xdr:nvSpPr>
          <xdr:cNvPr id="10" name="TextBox 9">
            <a:extLst>
              <a:ext uri="{FF2B5EF4-FFF2-40B4-BE49-F238E27FC236}">
                <a16:creationId xmlns:a16="http://schemas.microsoft.com/office/drawing/2014/main" id="{8D6AFE2E-3777-B1A7-3173-4F6853320051}"/>
              </a:ext>
            </a:extLst>
          </xdr:cNvPr>
          <xdr:cNvSpPr txBox="1"/>
        </xdr:nvSpPr>
        <xdr:spPr>
          <a:xfrm>
            <a:off x="11006667" y="346364"/>
            <a:ext cx="2722803" cy="279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accent6">
                    <a:lumMod val="50000"/>
                  </a:schemeClr>
                </a:solidFill>
              </a:rPr>
              <a:t>Total</a:t>
            </a:r>
            <a:r>
              <a:rPr lang="en-US" sz="1600" b="1" baseline="0">
                <a:solidFill>
                  <a:schemeClr val="accent6">
                    <a:lumMod val="50000"/>
                  </a:schemeClr>
                </a:solidFill>
              </a:rPr>
              <a:t> Tourists</a:t>
            </a:r>
            <a:endParaRPr lang="en-US" sz="1600" b="1">
              <a:solidFill>
                <a:schemeClr val="accent6">
                  <a:lumMod val="50000"/>
                </a:schemeClr>
              </a:solidFill>
            </a:endParaRPr>
          </a:p>
        </xdr:txBody>
      </xdr:sp>
    </xdr:grpSp>
    <xdr:clientData/>
  </xdr:twoCellAnchor>
  <xdr:twoCellAnchor editAs="absolute">
    <xdr:from>
      <xdr:col>21</xdr:col>
      <xdr:colOff>135952</xdr:colOff>
      <xdr:row>7</xdr:row>
      <xdr:rowOff>79896</xdr:rowOff>
    </xdr:from>
    <xdr:to>
      <xdr:col>26</xdr:col>
      <xdr:colOff>435952</xdr:colOff>
      <xdr:row>10</xdr:row>
      <xdr:rowOff>150623</xdr:rowOff>
    </xdr:to>
    <xdr:grpSp>
      <xdr:nvGrpSpPr>
        <xdr:cNvPr id="16" name="Group 15">
          <a:extLst>
            <a:ext uri="{FF2B5EF4-FFF2-40B4-BE49-F238E27FC236}">
              <a16:creationId xmlns:a16="http://schemas.microsoft.com/office/drawing/2014/main" id="{809E9262-79A9-4040-291C-F37645287CD8}"/>
            </a:ext>
          </a:extLst>
        </xdr:cNvPr>
        <xdr:cNvGrpSpPr/>
      </xdr:nvGrpSpPr>
      <xdr:grpSpPr>
        <a:xfrm>
          <a:off x="12437579" y="1607490"/>
          <a:ext cx="3355189" cy="636836"/>
          <a:chOff x="13055988" y="291370"/>
          <a:chExt cx="2836800" cy="648000"/>
        </a:xfrm>
      </xdr:grpSpPr>
      <xdr:sp macro="" textlink="Preparations!S13">
        <xdr:nvSpPr>
          <xdr:cNvPr id="11" name="Rectangle 10">
            <a:extLst>
              <a:ext uri="{FF2B5EF4-FFF2-40B4-BE49-F238E27FC236}">
                <a16:creationId xmlns:a16="http://schemas.microsoft.com/office/drawing/2014/main" id="{0A175D3C-9F6E-161B-9579-BA91B9C04EC7}"/>
              </a:ext>
            </a:extLst>
          </xdr:cNvPr>
          <xdr:cNvSpPr/>
        </xdr:nvSpPr>
        <xdr:spPr>
          <a:xfrm>
            <a:off x="13055988" y="291370"/>
            <a:ext cx="2836800" cy="648000"/>
          </a:xfrm>
          <a:prstGeom prst="rect">
            <a:avLst/>
          </a:prstGeom>
          <a:solidFill>
            <a:schemeClr val="accent6">
              <a:lumMod val="20000"/>
              <a:lumOff val="80000"/>
            </a:schemeClr>
          </a:solidFill>
          <a:ln w="28575">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5DF2E221-DCBB-4311-AEB3-FA8552B36093}" type="TxLink">
              <a:rPr lang="en-US" sz="1400" b="1" i="0" u="none" strike="noStrike">
                <a:solidFill>
                  <a:srgbClr val="000000"/>
                </a:solidFill>
                <a:latin typeface="Calibri"/>
                <a:ea typeface="+mn-ea"/>
                <a:cs typeface="Calibri"/>
              </a:rPr>
              <a:pPr marL="0" indent="0" algn="ctr"/>
              <a:t>Argentina</a:t>
            </a:fld>
            <a:endParaRPr lang="en-US" sz="1400" b="1" i="0" u="none" strike="noStrike">
              <a:solidFill>
                <a:srgbClr val="000000"/>
              </a:solidFill>
              <a:latin typeface="Calibri"/>
              <a:ea typeface="+mn-ea"/>
              <a:cs typeface="Calibri"/>
            </a:endParaRPr>
          </a:p>
        </xdr:txBody>
      </xdr:sp>
      <xdr:sp macro="" textlink="">
        <xdr:nvSpPr>
          <xdr:cNvPr id="12" name="TextBox 11">
            <a:extLst>
              <a:ext uri="{FF2B5EF4-FFF2-40B4-BE49-F238E27FC236}">
                <a16:creationId xmlns:a16="http://schemas.microsoft.com/office/drawing/2014/main" id="{7974FA74-F8AE-6D01-ECC6-2CB484E9AA28}"/>
              </a:ext>
            </a:extLst>
          </xdr:cNvPr>
          <xdr:cNvSpPr txBox="1"/>
        </xdr:nvSpPr>
        <xdr:spPr>
          <a:xfrm>
            <a:off x="13084848" y="336743"/>
            <a:ext cx="2761288" cy="336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accent6">
                    <a:lumMod val="50000"/>
                  </a:schemeClr>
                </a:solidFill>
              </a:rPr>
              <a:t>Country with highest Tourists</a:t>
            </a:r>
            <a:endParaRPr lang="en-US" sz="1400" b="1">
              <a:solidFill>
                <a:schemeClr val="accent6">
                  <a:lumMod val="50000"/>
                </a:schemeClr>
              </a:solidFill>
            </a:endParaRPr>
          </a:p>
        </xdr:txBody>
      </xdr:sp>
    </xdr:grpSp>
    <xdr:clientData/>
  </xdr:twoCellAnchor>
  <xdr:twoCellAnchor editAs="absolute">
    <xdr:from>
      <xdr:col>27</xdr:col>
      <xdr:colOff>128159</xdr:colOff>
      <xdr:row>7</xdr:row>
      <xdr:rowOff>79896</xdr:rowOff>
    </xdr:from>
    <xdr:to>
      <xdr:col>32</xdr:col>
      <xdr:colOff>66209</xdr:colOff>
      <xdr:row>10</xdr:row>
      <xdr:rowOff>150623</xdr:rowOff>
    </xdr:to>
    <xdr:grpSp>
      <xdr:nvGrpSpPr>
        <xdr:cNvPr id="15" name="Group 14">
          <a:extLst>
            <a:ext uri="{FF2B5EF4-FFF2-40B4-BE49-F238E27FC236}">
              <a16:creationId xmlns:a16="http://schemas.microsoft.com/office/drawing/2014/main" id="{37BB4714-CC81-0F60-5E61-09FD34626268}"/>
            </a:ext>
          </a:extLst>
        </xdr:cNvPr>
        <xdr:cNvGrpSpPr/>
      </xdr:nvGrpSpPr>
      <xdr:grpSpPr>
        <a:xfrm>
          <a:off x="16096013" y="1607490"/>
          <a:ext cx="3352672" cy="636836"/>
          <a:chOff x="17087277" y="252885"/>
          <a:chExt cx="2838254" cy="648000"/>
        </a:xfrm>
      </xdr:grpSpPr>
      <xdr:sp macro="" textlink="Preparations!X13">
        <xdr:nvSpPr>
          <xdr:cNvPr id="13" name="Rectangle 12">
            <a:extLst>
              <a:ext uri="{FF2B5EF4-FFF2-40B4-BE49-F238E27FC236}">
                <a16:creationId xmlns:a16="http://schemas.microsoft.com/office/drawing/2014/main" id="{D71ABC0E-439C-A210-CF74-F32FD3F79EAC}"/>
              </a:ext>
            </a:extLst>
          </xdr:cNvPr>
          <xdr:cNvSpPr/>
        </xdr:nvSpPr>
        <xdr:spPr>
          <a:xfrm>
            <a:off x="17087277" y="252885"/>
            <a:ext cx="2838254" cy="648000"/>
          </a:xfrm>
          <a:prstGeom prst="rect">
            <a:avLst/>
          </a:prstGeom>
          <a:solidFill>
            <a:schemeClr val="accent6">
              <a:lumMod val="20000"/>
              <a:lumOff val="80000"/>
            </a:schemeClr>
          </a:solidFill>
          <a:ln w="28575">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D2C9ADE7-FEA9-4842-8917-EA301F72C8E1}" type="TxLink">
              <a:rPr lang="en-US" sz="1400" b="1" i="0" u="none" strike="noStrike">
                <a:solidFill>
                  <a:srgbClr val="000000"/>
                </a:solidFill>
                <a:latin typeface="Calibri"/>
                <a:ea typeface="+mn-ea"/>
                <a:cs typeface="Calibri"/>
              </a:rPr>
              <a:pPr marL="0" indent="0" algn="ctr"/>
              <a:t>January</a:t>
            </a:fld>
            <a:endParaRPr lang="en-US" sz="1400" b="1" i="0" u="none" strike="noStrike">
              <a:solidFill>
                <a:srgbClr val="000000"/>
              </a:solidFill>
              <a:latin typeface="Calibri"/>
              <a:ea typeface="+mn-ea"/>
              <a:cs typeface="Calibri"/>
            </a:endParaRPr>
          </a:p>
        </xdr:txBody>
      </xdr:sp>
      <xdr:sp macro="" textlink="">
        <xdr:nvSpPr>
          <xdr:cNvPr id="14" name="TextBox 13">
            <a:extLst>
              <a:ext uri="{FF2B5EF4-FFF2-40B4-BE49-F238E27FC236}">
                <a16:creationId xmlns:a16="http://schemas.microsoft.com/office/drawing/2014/main" id="{A781E5D5-46D4-5570-B54A-28818BF7815B}"/>
              </a:ext>
            </a:extLst>
          </xdr:cNvPr>
          <xdr:cNvSpPr txBox="1"/>
        </xdr:nvSpPr>
        <xdr:spPr>
          <a:xfrm>
            <a:off x="17231591" y="317501"/>
            <a:ext cx="2645833" cy="279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6">
                    <a:lumMod val="50000"/>
                  </a:schemeClr>
                </a:solidFill>
              </a:rPr>
              <a:t>Month with highest</a:t>
            </a:r>
            <a:r>
              <a:rPr lang="en-US" sz="1400" b="1" baseline="0">
                <a:solidFill>
                  <a:schemeClr val="accent6">
                    <a:lumMod val="50000"/>
                  </a:schemeClr>
                </a:solidFill>
              </a:rPr>
              <a:t> Toursists</a:t>
            </a:r>
            <a:endParaRPr lang="en-US" sz="1400" b="1">
              <a:solidFill>
                <a:schemeClr val="accent6">
                  <a:lumMod val="50000"/>
                </a:schemeClr>
              </a:solidFill>
            </a:endParaRPr>
          </a:p>
        </xdr:txBody>
      </xdr:sp>
    </xdr:grpSp>
    <xdr:clientData/>
  </xdr:twoCellAnchor>
  <xdr:twoCellAnchor editAs="absolute">
    <xdr:from>
      <xdr:col>14</xdr:col>
      <xdr:colOff>571501</xdr:colOff>
      <xdr:row>0</xdr:row>
      <xdr:rowOff>85404</xdr:rowOff>
    </xdr:from>
    <xdr:to>
      <xdr:col>17</xdr:col>
      <xdr:colOff>428625</xdr:colOff>
      <xdr:row>4</xdr:row>
      <xdr:rowOff>47625</xdr:rowOff>
    </xdr:to>
    <xdr:pic>
      <xdr:nvPicPr>
        <xdr:cNvPr id="21" name="Picture 20">
          <a:extLst>
            <a:ext uri="{FF2B5EF4-FFF2-40B4-BE49-F238E27FC236}">
              <a16:creationId xmlns:a16="http://schemas.microsoft.com/office/drawing/2014/main" id="{BD0A7D05-CD9B-FC41-8737-CA3461BEC88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639176" y="85404"/>
          <a:ext cx="1685924" cy="933771"/>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68543634258" backgroundQuery="1" createdVersion="8" refreshedVersion="8" minRefreshableVersion="3" recordCount="0" supportSubquery="1" supportAdvancedDrill="1" xr:uid="{CDEF829E-5DED-45C9-86D6-295809438B87}">
  <cacheSource type="external" connectionId="2"/>
  <cacheFields count="2">
    <cacheField name="[tourism_data].[Month].[Month]" caption="Month" numFmtId="0" hierarchy="3" level="1">
      <sharedItems count="12">
        <s v="April"/>
        <s v="August"/>
        <s v="December"/>
        <s v="February"/>
        <s v="January"/>
        <s v="July"/>
        <s v="June"/>
        <s v="March"/>
        <s v="May"/>
        <s v="November"/>
        <s v="October"/>
        <s v="September"/>
      </sharedItems>
    </cacheField>
    <cacheField name="[Measures].[Sum of Count]" caption="Sum of Count" numFmtId="0" hierarchy="13" level="32767"/>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2" memberValueDatatype="130" unbalanced="0">
      <fieldsUsage count="2">
        <fieldUsage x="-1"/>
        <fieldUsage x="0"/>
      </fieldsUsage>
    </cacheHierarchy>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0" memberValueDatatype="20" unbalanced="0"/>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68557291667" backgroundQuery="1" createdVersion="8" refreshedVersion="8" minRefreshableVersion="3" recordCount="0" supportSubquery="1" supportAdvancedDrill="1" xr:uid="{EFB05AAA-ABE4-4649-A23A-84D36CAE27AB}">
  <cacheSource type="external" connectionId="2"/>
  <cacheFields count="2">
    <cacheField name="[tourism_data].[Country].[Country]" caption="Country" numFmtId="0" hierarchy="1" level="1">
      <sharedItems count="54">
        <s v="Angola"/>
        <s v="Argentina"/>
        <s v="Australia"/>
        <s v="Austria"/>
        <s v="Belgium"/>
        <s v="Bolivia"/>
        <s v="Canada"/>
        <s v="Cape Verde"/>
        <s v="Chile"/>
        <s v="China"/>
        <s v="Colombia"/>
        <s v="Costa Rica"/>
        <s v="Cuba"/>
        <s v="Czech Republic"/>
        <s v="Denmark"/>
        <s v="Ecuador"/>
        <s v="Finland"/>
        <s v="France"/>
        <s v="French Guiana"/>
        <s v="Germany"/>
        <s v="Greece"/>
        <s v="Guatemala"/>
        <s v="Guiana"/>
        <s v="Hungary"/>
        <s v="India"/>
        <s v="Iraque"/>
        <s v="Ireland"/>
        <s v="Israel"/>
        <s v="Italy"/>
        <s v="Japan"/>
        <s v="Mexico"/>
        <s v="Netherlands"/>
        <s v="New Zealand"/>
        <s v="Nigeria"/>
        <s v="Norway"/>
        <s v="Other countries"/>
        <s v="Panama"/>
        <s v="Paraguay"/>
        <s v="Peru"/>
        <s v="Poland"/>
        <s v="Portugal"/>
        <s v="Puerto Rico"/>
        <s v="Republic of Korea"/>
        <s v="Russia"/>
        <s v="Saudi Arabia"/>
        <s v="South Africa"/>
        <s v="Spain"/>
        <s v="Suriname"/>
        <s v="Sweden"/>
        <s v="Switzerland"/>
        <s v="United Kingdom"/>
        <s v="United States"/>
        <s v="Uruguay"/>
        <s v="Venezuela"/>
      </sharedItems>
    </cacheField>
    <cacheField name="[Measures].[Sum of Count]" caption="Sum of Count" numFmtId="0" hierarchy="13" level="32767"/>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2" memberValueDatatype="130" unbalanced="0">
      <fieldsUsage count="2">
        <fieldUsage x="-1"/>
        <fieldUsage x="0"/>
      </fieldsUsage>
    </cacheHierarchy>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0" memberValueDatatype="20" unbalanced="0"/>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79315624997" backgroundQuery="1" createdVersion="8" refreshedVersion="8" minRefreshableVersion="3" recordCount="0" supportSubquery="1" supportAdvancedDrill="1" xr:uid="{A442721A-5DDB-4B1C-916B-E61662F87CE3}">
  <cacheSource type="external" connectionId="2"/>
  <cacheFields count="2">
    <cacheField name="[tourism_data].[Year].[Year]" caption="Year" numFmtId="0" hierarchy="7" level="1">
      <sharedItems containsSemiMixedTypes="0" containsString="0" containsNumber="1" containsInteger="1" minValue="2005" maxValue="2015" count="11">
        <n v="2005"/>
        <n v="2006"/>
        <n v="2007"/>
        <n v="2008"/>
        <n v="2009"/>
        <n v="2010"/>
        <n v="2011"/>
        <n v="2012"/>
        <n v="2013"/>
        <n v="2014"/>
        <n v="2015"/>
      </sharedItems>
      <extLst>
        <ext xmlns:x15="http://schemas.microsoft.com/office/spreadsheetml/2010/11/main" uri="{4F2E5C28-24EA-4eb8-9CBF-B6C8F9C3D259}">
          <x15:cachedUniqueNames>
            <x15:cachedUniqueName index="0" name="[tourism_data].[Year].&amp;[2005]"/>
            <x15:cachedUniqueName index="1" name="[tourism_data].[Year].&amp;[2006]"/>
            <x15:cachedUniqueName index="2" name="[tourism_data].[Year].&amp;[2007]"/>
            <x15:cachedUniqueName index="3" name="[tourism_data].[Year].&amp;[2008]"/>
            <x15:cachedUniqueName index="4" name="[tourism_data].[Year].&amp;[2009]"/>
            <x15:cachedUniqueName index="5" name="[tourism_data].[Year].&amp;[2010]"/>
            <x15:cachedUniqueName index="6" name="[tourism_data].[Year].&amp;[2011]"/>
            <x15:cachedUniqueName index="7" name="[tourism_data].[Year].&amp;[2012]"/>
            <x15:cachedUniqueName index="8" name="[tourism_data].[Year].&amp;[2013]"/>
            <x15:cachedUniqueName index="9" name="[tourism_data].[Year].&amp;[2014]"/>
            <x15:cachedUniqueName index="10" name="[tourism_data].[Year].&amp;[2015]"/>
          </x15:cachedUniqueNames>
        </ext>
      </extLst>
    </cacheField>
    <cacheField name="[Measures].[Sum of Count]" caption="Sum of Count" numFmtId="0" hierarchy="13" level="32767"/>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2" memberValueDatatype="20" unbalanced="0">
      <fieldsUsage count="2">
        <fieldUsage x="-1"/>
        <fieldUsage x="0"/>
      </fieldsUsage>
    </cacheHierarchy>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79316087966" backgroundQuery="1" createdVersion="8" refreshedVersion="8" minRefreshableVersion="3" recordCount="0" supportSubquery="1" supportAdvancedDrill="1" xr:uid="{85989890-CC79-4A4D-8774-A43F0D6E5217}">
  <cacheSource type="external" connectionId="2"/>
  <cacheFields count="3">
    <cacheField name="[tourism_data].[Continent].[Continent]" caption="Continent" numFmtId="0" level="1">
      <sharedItems count="7">
        <s v="Africa"/>
        <s v="Asia"/>
        <s v="Central America"/>
        <s v="Europe"/>
        <s v="North America"/>
        <s v="Oceania"/>
        <s v="South America"/>
      </sharedItems>
    </cacheField>
    <cacheField name="[Measures].[Sum of Count]" caption="Sum of Count" numFmtId="0" hierarchy="13" level="32767"/>
    <cacheField name="[tourism_data].[Year].[Year]" caption="Year" numFmtId="0" hierarchy="7" level="1">
      <sharedItems containsSemiMixedTypes="0" containsNonDate="0" containsString="0"/>
    </cacheField>
  </cacheFields>
  <cacheHierarchies count="16">
    <cacheHierarchy uniqueName="[tourism_data].[Continent]" caption="Continent" attribute="1" defaultMemberUniqueName="[tourism_data].[Continent].[All]" allUniqueName="[tourism_data].[Continent].[All]" dimensionUniqueName="[tourism_data]" displayFolder="" count="2" memberValueDatatype="130" unbalanced="0">
      <fieldsUsage count="2">
        <fieldUsage x="-1"/>
        <fieldUsage x="0"/>
      </fieldsUsage>
    </cacheHierarchy>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2" memberValueDatatype="20" unbalanced="0">
      <fieldsUsage count="2">
        <fieldUsage x="-1"/>
        <fieldUsage x="2"/>
      </fieldsUsage>
    </cacheHierarchy>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79316898152" backgroundQuery="1" createdVersion="8" refreshedVersion="8" minRefreshableVersion="3" recordCount="0" supportSubquery="1" supportAdvancedDrill="1" xr:uid="{2CA48131-6247-4B55-AC2D-9F0207E86DE2}">
  <cacheSource type="external" connectionId="2"/>
  <cacheFields count="3">
    <cacheField name="[tourism_data].[Country].[Country]" caption="Country" numFmtId="0" hierarchy="1" level="1">
      <sharedItems count="54">
        <s v="Angola"/>
        <s v="Argentina"/>
        <s v="Australia"/>
        <s v="Austria"/>
        <s v="Belgium"/>
        <s v="Bolivia"/>
        <s v="Canada"/>
        <s v="Cape Verde"/>
        <s v="Chile"/>
        <s v="China"/>
        <s v="Colombia"/>
        <s v="Costa Rica"/>
        <s v="Cuba"/>
        <s v="Czech Republic"/>
        <s v="Denmark"/>
        <s v="Ecuador"/>
        <s v="Finland"/>
        <s v="France"/>
        <s v="French Guiana"/>
        <s v="Germany"/>
        <s v="Greece"/>
        <s v="Guatemala"/>
        <s v="Guiana"/>
        <s v="Hungary"/>
        <s v="India"/>
        <s v="Iraque"/>
        <s v="Ireland"/>
        <s v="Israel"/>
        <s v="Italy"/>
        <s v="Japan"/>
        <s v="Mexico"/>
        <s v="Netherlands"/>
        <s v="New Zealand"/>
        <s v="Nigeria"/>
        <s v="Norway"/>
        <s v="Other countries"/>
        <s v="Panama"/>
        <s v="Paraguay"/>
        <s v="Peru"/>
        <s v="Poland"/>
        <s v="Portugal"/>
        <s v="Puerto Rico"/>
        <s v="Republic of Korea"/>
        <s v="Russia"/>
        <s v="Saudi Arabia"/>
        <s v="South Africa"/>
        <s v="Spain"/>
        <s v="Suriname"/>
        <s v="Sweden"/>
        <s v="Switzerland"/>
        <s v="United Kingdom"/>
        <s v="United States"/>
        <s v="Uruguay"/>
        <s v="Venezuela"/>
      </sharedItems>
    </cacheField>
    <cacheField name="[Measures].[Sum of Count]" caption="Sum of Count" numFmtId="0" hierarchy="13" level="32767"/>
    <cacheField name="[tourism_data].[Year].[Year]" caption="Year" numFmtId="0" hierarchy="7" level="1">
      <sharedItems containsSemiMixedTypes="0" containsNonDate="0" containsString="0"/>
    </cacheField>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2" memberValueDatatype="130" unbalanced="0">
      <fieldsUsage count="2">
        <fieldUsage x="-1"/>
        <fieldUsage x="0"/>
      </fieldsUsage>
    </cacheHierarchy>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2" memberValueDatatype="20" unbalanced="0">
      <fieldsUsage count="2">
        <fieldUsage x="-1"/>
        <fieldUsage x="2"/>
      </fieldsUsage>
    </cacheHierarchy>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79317361113" backgroundQuery="1" createdVersion="8" refreshedVersion="8" minRefreshableVersion="3" recordCount="0" supportSubquery="1" supportAdvancedDrill="1" xr:uid="{6A549F0C-BD24-4C9C-BBC3-04E80A353067}">
  <cacheSource type="external" connectionId="2"/>
  <cacheFields count="3">
    <cacheField name="[tourism_data].[State].[State]" caption="State" numFmtId="0" hierarchy="5" level="1">
      <sharedItems count="18">
        <s v="Acre"/>
        <s v="Amapá"/>
        <s v="Amazonas"/>
        <s v="Bahia"/>
        <s v="Ceará"/>
        <s v="Distrito Federal"/>
        <s v="Mato Grosso do Sul"/>
        <s v="Minas Gerais"/>
        <s v="Other Units of the Federation"/>
        <s v="Pará"/>
        <s v="Paraná"/>
        <s v="Pernambuco"/>
        <s v="Rio de Janeiro"/>
        <s v="Rio Grande do Norte"/>
        <s v="Rio Grande do Sul"/>
        <s v="Roraima"/>
        <s v="Santa Catarina"/>
        <s v="São Paulo"/>
      </sharedItems>
    </cacheField>
    <cacheField name="[Measures].[Sum of Count]" caption="Sum of Count" numFmtId="0" hierarchy="13" level="32767"/>
    <cacheField name="[tourism_data].[Year].[Year]" caption="Year" numFmtId="0" hierarchy="7" level="1">
      <sharedItems containsSemiMixedTypes="0" containsNonDate="0" containsString="0"/>
    </cacheField>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2" memberValueDatatype="130" unbalanced="0">
      <fieldsUsage count="2">
        <fieldUsage x="-1"/>
        <fieldUsage x="0"/>
      </fieldsUsage>
    </cacheHierarchy>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2" memberValueDatatype="20" unbalanced="0">
      <fieldsUsage count="2">
        <fieldUsage x="-1"/>
        <fieldUsage x="2"/>
      </fieldsUsage>
    </cacheHierarchy>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79317708337" backgroundQuery="1" createdVersion="8" refreshedVersion="8" minRefreshableVersion="3" recordCount="0" supportSubquery="1" supportAdvancedDrill="1" xr:uid="{721B568D-5C75-4D8A-9F95-DA700D05F963}">
  <cacheSource type="external" connectionId="2"/>
  <cacheFields count="3">
    <cacheField name="[tourism_data].[Way In].[Way In]" caption="Way In" numFmtId="0" hierarchy="6" level="1">
      <sharedItems count="4">
        <s v="Air"/>
        <s v="Land"/>
        <s v="River"/>
        <s v="Sea"/>
      </sharedItems>
    </cacheField>
    <cacheField name="[Measures].[Sum of Count]" caption="Sum of Count" numFmtId="0" hierarchy="13" level="32767"/>
    <cacheField name="[tourism_data].[Year].[Year]" caption="Year" numFmtId="0" hierarchy="7" level="1">
      <sharedItems containsSemiMixedTypes="0" containsNonDate="0" containsString="0"/>
    </cacheField>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2" memberValueDatatype="130" unbalanced="0">
      <fieldsUsage count="2">
        <fieldUsage x="-1"/>
        <fieldUsage x="0"/>
      </fieldsUsage>
    </cacheHierarchy>
    <cacheHierarchy uniqueName="[tourism_data].[Year]" caption="Year" attribute="1" defaultMemberUniqueName="[tourism_data].[Year].[All]" allUniqueName="[tourism_data].[Year].[All]" dimensionUniqueName="[tourism_data]" displayFolder="" count="2" memberValueDatatype="20" unbalanced="0">
      <fieldsUsage count="2">
        <fieldUsage x="-1"/>
        <fieldUsage x="2"/>
      </fieldsUsage>
    </cacheHierarchy>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79318171299" backgroundQuery="1" createdVersion="8" refreshedVersion="8" minRefreshableVersion="3" recordCount="0" supportSubquery="1" supportAdvancedDrill="1" xr:uid="{E7562C56-D650-47A8-A0D9-DF75FF0B97AA}">
  <cacheSource type="external" connectionId="2"/>
  <cacheFields count="3">
    <cacheField name="[tourism_data].[Seasons].[Seasons]" caption="Seasons" numFmtId="0" hierarchy="4" level="1">
      <sharedItems count="4">
        <s v="Fall"/>
        <s v="Spring"/>
        <s v="Summer"/>
        <s v="Winter"/>
      </sharedItems>
    </cacheField>
    <cacheField name="[Measures].[Sum of Count]" caption="Sum of Count" numFmtId="0" hierarchy="13" level="32767"/>
    <cacheField name="[tourism_data].[Year].[Year]" caption="Year" numFmtId="0" hierarchy="7" level="1">
      <sharedItems containsSemiMixedTypes="0" containsString="0" containsNumber="1" containsInteger="1" minValue="2005" maxValue="2015" count="11">
        <n v="2005"/>
        <n v="2006"/>
        <n v="2007"/>
        <n v="2008"/>
        <n v="2009"/>
        <n v="2010"/>
        <n v="2011"/>
        <n v="2012"/>
        <n v="2013"/>
        <n v="2014"/>
        <n v="2015"/>
      </sharedItems>
      <extLst>
        <ext xmlns:x15="http://schemas.microsoft.com/office/spreadsheetml/2010/11/main" uri="{4F2E5C28-24EA-4eb8-9CBF-B6C8F9C3D259}">
          <x15:cachedUniqueNames>
            <x15:cachedUniqueName index="0" name="[tourism_data].[Year].&amp;[2005]"/>
            <x15:cachedUniqueName index="1" name="[tourism_data].[Year].&amp;[2006]"/>
            <x15:cachedUniqueName index="2" name="[tourism_data].[Year].&amp;[2007]"/>
            <x15:cachedUniqueName index="3" name="[tourism_data].[Year].&amp;[2008]"/>
            <x15:cachedUniqueName index="4" name="[tourism_data].[Year].&amp;[2009]"/>
            <x15:cachedUniqueName index="5" name="[tourism_data].[Year].&amp;[2010]"/>
            <x15:cachedUniqueName index="6" name="[tourism_data].[Year].&amp;[2011]"/>
            <x15:cachedUniqueName index="7" name="[tourism_data].[Year].&amp;[2012]"/>
            <x15:cachedUniqueName index="8" name="[tourism_data].[Year].&amp;[2013]"/>
            <x15:cachedUniqueName index="9" name="[tourism_data].[Year].&amp;[2014]"/>
            <x15:cachedUniqueName index="10" name="[tourism_data].[Year].&amp;[2015]"/>
          </x15:cachedUniqueNames>
        </ext>
      </extLst>
    </cacheField>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2" memberValueDatatype="130" unbalanced="0">
      <fieldsUsage count="2">
        <fieldUsage x="-1"/>
        <fieldUsage x="0"/>
      </fieldsUsage>
    </cacheHierarchy>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2" memberValueDatatype="20" unbalanced="0">
      <fieldsUsage count="2">
        <fieldUsage x="-1"/>
        <fieldUsage x="2"/>
      </fieldsUsage>
    </cacheHierarchy>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79318287037" backgroundQuery="1" createdVersion="8" refreshedVersion="8" minRefreshableVersion="3" recordCount="0" supportSubquery="1" supportAdvancedDrill="1" xr:uid="{20C22C7D-A2F2-436E-98B3-E3499A9AA252}">
  <cacheSource type="external" connectionId="2"/>
  <cacheFields count="2">
    <cacheField name="[Measures].[Sum of Count]" caption="Sum of Count" numFmtId="0" hierarchy="13" level="32767"/>
    <cacheField name="[tourism_data].[Year].[Year]" caption="Year" numFmtId="0" hierarchy="7" level="1">
      <sharedItems containsSemiMixedTypes="0" containsNonDate="0" containsString="0"/>
    </cacheField>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2" memberValueDatatype="20" unbalanced="0">
      <fieldsUsage count="2">
        <fieldUsage x="-1"/>
        <fieldUsage x="1"/>
      </fieldsUsage>
    </cacheHierarchy>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79318865738" backgroundQuery="1" createdVersion="8" refreshedVersion="8" minRefreshableVersion="3" recordCount="0" supportSubquery="1" supportAdvancedDrill="1" xr:uid="{34CF9CE1-CF07-420A-B681-F1185C742BBD}">
  <cacheSource type="external" connectionId="2"/>
  <cacheFields count="3">
    <cacheField name="[tourism_data].[Month].[Month]" caption="Month" numFmtId="0" hierarchy="3" level="1">
      <sharedItems count="12">
        <s v="April"/>
        <s v="August"/>
        <s v="December"/>
        <s v="February"/>
        <s v="January"/>
        <s v="July"/>
        <s v="June"/>
        <s v="March"/>
        <s v="May"/>
        <s v="November"/>
        <s v="October"/>
        <s v="September"/>
      </sharedItems>
    </cacheField>
    <cacheField name="[Measures].[Sum of Count]" caption="Sum of Count" numFmtId="0" hierarchy="13" level="32767"/>
    <cacheField name="[tourism_data].[Year].[Year]" caption="Year" numFmtId="0" hierarchy="7" level="1">
      <sharedItems containsSemiMixedTypes="0" containsNonDate="0" containsString="0"/>
    </cacheField>
  </cacheFields>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2" memberValueDatatype="130" unbalanced="0">
      <fieldsUsage count="2">
        <fieldUsage x="-1"/>
        <fieldUsage x="0"/>
      </fieldsUsage>
    </cacheHierarchy>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2" memberValueDatatype="20" unbalanced="0">
      <fieldsUsage count="2">
        <fieldUsage x="-1"/>
        <fieldUsage x="2"/>
      </fieldsUsage>
    </cacheHierarchy>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ourism_data" uniqueName="[tourism_data]" caption="tourism_data"/>
  </dimensions>
  <measureGroups count="1">
    <measureGroup name="tourism_data" caption="tourism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uldeep Kumar Sharma" refreshedDate="45892.768544675928" backgroundQuery="1" createdVersion="3" refreshedVersion="8" minRefreshableVersion="3" recordCount="0" supportSubquery="1" supportAdvancedDrill="1" xr:uid="{93E58830-0BD9-443C-B88E-5594AAA334CB}">
  <cacheSource type="external" connectionId="2">
    <extLst>
      <ext xmlns:x14="http://schemas.microsoft.com/office/spreadsheetml/2009/9/main" uri="{F057638F-6D5F-4e77-A914-E7F072B9BCA8}">
        <x14:sourceConnection name="ThisWorkbookDataModel"/>
      </ext>
    </extLst>
  </cacheSource>
  <cacheFields count="0"/>
  <cacheHierarchies count="16">
    <cacheHierarchy uniqueName="[tourism_data].[Continent]" caption="Continent" attribute="1" defaultMemberUniqueName="[tourism_data].[Continent].[All]" allUniqueName="[tourism_data].[Continent].[All]" dimensionUniqueName="[tourism_data]" displayFolder="" count="0" memberValueDatatype="130" unbalanced="0"/>
    <cacheHierarchy uniqueName="[tourism_data].[Country]" caption="Country" attribute="1" defaultMemberUniqueName="[tourism_data].[Country].[All]" allUniqueName="[tourism_data].[Country].[All]" dimensionUniqueName="[tourism_data]" displayFolder="" count="0" memberValueDatatype="130" unbalanced="0"/>
    <cacheHierarchy uniqueName="[tourism_data].[CountryJoin]" caption="CountryJoin" attribute="1" defaultMemberUniqueName="[tourism_data].[CountryJoin].[All]" allUniqueName="[tourism_data].[CountryJoin].[All]" dimensionUniqueName="[tourism_data]" displayFolder="" count="0" memberValueDatatype="130" unbalanced="0"/>
    <cacheHierarchy uniqueName="[tourism_data].[Month]" caption="Month" attribute="1" defaultMemberUniqueName="[tourism_data].[Month].[All]" allUniqueName="[tourism_data].[Month].[All]" dimensionUniqueName="[tourism_data]" displayFolder="" count="0" memberValueDatatype="130" unbalanced="0"/>
    <cacheHierarchy uniqueName="[tourism_data].[Seasons]" caption="Seasons" attribute="1" defaultMemberUniqueName="[tourism_data].[Seasons].[All]" allUniqueName="[tourism_data].[Seasons].[All]" dimensionUniqueName="[tourism_data]" displayFolder="" count="0" memberValueDatatype="130" unbalanced="0"/>
    <cacheHierarchy uniqueName="[tourism_data].[State]" caption="State" attribute="1" defaultMemberUniqueName="[tourism_data].[State].[All]" allUniqueName="[tourism_data].[State].[All]" dimensionUniqueName="[tourism_data]" displayFolder="" count="0" memberValueDatatype="130" unbalanced="0"/>
    <cacheHierarchy uniqueName="[tourism_data].[Way In]" caption="Way In" attribute="1" defaultMemberUniqueName="[tourism_data].[Way In].[All]" allUniqueName="[tourism_data].[Way In].[All]" dimensionUniqueName="[tourism_data]" displayFolder="" count="0" memberValueDatatype="130" unbalanced="0"/>
    <cacheHierarchy uniqueName="[tourism_data].[Year]" caption="Year" attribute="1" defaultMemberUniqueName="[tourism_data].[Year].[All]" allUniqueName="[tourism_data].[Year].[All]" dimensionUniqueName="[tourism_data]" displayFolder="" count="2" memberValueDatatype="20" unbalanced="0"/>
    <cacheHierarchy uniqueName="[tourism_data].[Count]" caption="Count" attribute="1" defaultMemberUniqueName="[tourism_data].[Count].[All]" allUniqueName="[tourism_data].[Count].[All]" dimensionUniqueName="[tourism_data]" displayFolder="" count="0" memberValueDatatype="20" unbalanced="0"/>
    <cacheHierarchy uniqueName="[tourism_data].[GDP]" caption="GDP" attribute="1" defaultMemberUniqueName="[tourism_data].[GDP].[All]" allUniqueName="[tourism_data].[GDP].[All]" dimensionUniqueName="[tourism_data]" displayFolder="" count="0" memberValueDatatype="20" unbalanced="0"/>
    <cacheHierarchy uniqueName="[tourism_data].[Population]" caption="Population" attribute="1" defaultMemberUniqueName="[tourism_data].[Population].[All]" allUniqueName="[tourism_data].[Population].[All]" dimensionUniqueName="[tourism_data]" displayFolder="" count="0" memberValueDatatype="20" unbalanced="0"/>
    <cacheHierarchy uniqueName="[Measures].[__XL_Count tourism_data]" caption="__XL_Count tourism_data" measure="1" displayFolder="" measureGroup="tourism_data" count="0" hidden="1"/>
    <cacheHierarchy uniqueName="[Measures].[__No measures defined]" caption="__No measures defined" measure="1" displayFolder="" count="0" hidden="1"/>
    <cacheHierarchy uniqueName="[Measures].[Sum of Count]" caption="Sum of Count" measure="1" displayFolder="" measureGroup="tourism_data" count="0" hidden="1">
      <extLst>
        <ext xmlns:x15="http://schemas.microsoft.com/office/spreadsheetml/2010/11/main" uri="{B97F6D7D-B522-45F9-BDA1-12C45D357490}">
          <x15:cacheHierarchy aggregatedColumn="8"/>
        </ext>
      </extLst>
    </cacheHierarchy>
    <cacheHierarchy uniqueName="[Measures].[Sum of GDP]" caption="Sum of GDP" measure="1" displayFolder="" measureGroup="tourism_data" count="0" hidden="1">
      <extLst>
        <ext xmlns:x15="http://schemas.microsoft.com/office/spreadsheetml/2010/11/main" uri="{B97F6D7D-B522-45F9-BDA1-12C45D357490}">
          <x15:cacheHierarchy aggregatedColumn="9"/>
        </ext>
      </extLst>
    </cacheHierarchy>
    <cacheHierarchy uniqueName="[Measures].[Sum of Population]" caption="Sum of Population" measure="1" displayFolder="" measureGroup="tourism_data"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1813360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4E79-3AAB-479C-A467-91EC7B3C4433}" name="TotalTouristsByMonths" cacheId="9"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T12:U24" firstHeaderRow="1" firstDataRow="1" firstDataCol="1"/>
  <pivotFields count="3">
    <pivotField axis="axisRow" compact="0" allDrilled="1" outline="0" subtotalTop="0" showAll="0" nonAutoSortDefault="1" defaultAttributeDrillState="1">
      <items count="13">
        <item x="4"/>
        <item x="3"/>
        <item x="7"/>
        <item x="0"/>
        <item x="8"/>
        <item x="6"/>
        <item x="5"/>
        <item x="1"/>
        <item x="11"/>
        <item x="10"/>
        <item x="9"/>
        <item x="2"/>
        <item t="default"/>
      </items>
    </pivotField>
    <pivotField dataField="1" compact="0" outline="0" subtotalTop="0" showAll="0"/>
    <pivotField compact="0" allDrilled="1" outline="0" subtotalTop="0" showAll="0" dataSourceSort="1" defaultAttributeDrillState="1"/>
  </pivotFields>
  <rowFields count="1">
    <field x="0"/>
  </rowFields>
  <rowItems count="12">
    <i>
      <x/>
    </i>
    <i>
      <x v="1"/>
    </i>
    <i>
      <x v="2"/>
    </i>
    <i>
      <x v="3"/>
    </i>
    <i>
      <x v="4"/>
    </i>
    <i>
      <x v="5"/>
    </i>
    <i>
      <x v="6"/>
    </i>
    <i>
      <x v="7"/>
    </i>
    <i>
      <x v="8"/>
    </i>
    <i>
      <x v="9"/>
    </i>
    <i>
      <x v="10"/>
    </i>
    <i>
      <x v="11"/>
    </i>
  </rowItems>
  <colItems count="1">
    <i/>
  </colItems>
  <dataFields count="1">
    <dataField name="Total Tourists" fld="1" baseField="0" baseItem="0" numFmtId="3"/>
  </dataFields>
  <formats count="5">
    <format dxfId="4">
      <pivotArea type="all" dataOnly="0" outline="0" fieldPosition="0"/>
    </format>
    <format dxfId="3">
      <pivotArea outline="0" collapsedLevelsAreSubtotals="1" fieldPosition="0"/>
    </format>
    <format dxfId="2">
      <pivotArea field="0" type="button" dataOnly="0" labelOnly="1" outline="0" axis="axisRow" fieldPosition="0"/>
    </format>
    <format dxfId="1">
      <pivotArea dataOnly="0" labelOnly="1" outline="0" fieldPosition="0">
        <references count="1">
          <reference field="0" count="0"/>
        </references>
      </pivotArea>
    </format>
    <format dxfId="0">
      <pivotArea dataOnly="0" labelOnly="1" outline="0" axis="axisValues" fieldPosition="0"/>
    </format>
  </formats>
  <conditionalFormats count="2">
    <conditionalFormat scope="field" type="all" priority="1">
      <pivotAreas count="1">
        <pivotArea outline="0" collapsedLevelsAreSubtotals="1" fieldPosition="0">
          <references count="2">
            <reference field="4294967294" count="1" selected="0">
              <x v="0"/>
            </reference>
            <reference field="0" count="0" selected="0"/>
          </references>
        </pivotArea>
      </pivotAreas>
    </conditionalFormat>
    <conditionalFormat scope="field" type="all" priority="2">
      <pivotAreas count="1">
        <pivotArea outline="0" collapsedLevelsAreSubtotals="1" fieldPosition="0">
          <references count="2">
            <reference field="4294967294" count="1" selected="0">
              <x v="0"/>
            </reference>
            <reference field="0" count="0" selected="0"/>
          </references>
        </pivotArea>
      </pivotAreas>
    </conditionalFormat>
  </conditionalFormats>
  <pivotHierarchies count="1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Total Tourists"/>
    <pivotHierarchy dragToData="1"/>
    <pivotHierarchy dragToData="1"/>
  </pivotHierarchies>
  <pivotTableStyleInfo name="PivotStyleLight7"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D62D56-AE05-42DF-899B-85548D7E2583}" name="TouristsByMonth"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U11:V23" firstHeaderRow="1" firstDataRow="1" firstDataCol="1"/>
  <pivotFields count="2">
    <pivotField axis="axisRow" compact="0" allDrilled="1" outline="0" subtotalTop="0" showAll="0" nonAutoSortDefault="1" defaultAttributeDrillState="1">
      <items count="13">
        <item x="4"/>
        <item x="3"/>
        <item x="7"/>
        <item x="0"/>
        <item x="8"/>
        <item x="6"/>
        <item x="5"/>
        <item x="1"/>
        <item x="11"/>
        <item x="10"/>
        <item x="9"/>
        <item x="2"/>
        <item t="default"/>
      </items>
    </pivotField>
    <pivotField dataField="1" compact="0" outline="0" subtotalTop="0" showAll="0"/>
  </pivotFields>
  <rowFields count="1">
    <field x="0"/>
  </rowFields>
  <rowItems count="12">
    <i>
      <x/>
    </i>
    <i>
      <x v="1"/>
    </i>
    <i>
      <x v="2"/>
    </i>
    <i>
      <x v="3"/>
    </i>
    <i>
      <x v="4"/>
    </i>
    <i>
      <x v="5"/>
    </i>
    <i>
      <x v="6"/>
    </i>
    <i>
      <x v="7"/>
    </i>
    <i>
      <x v="8"/>
    </i>
    <i>
      <x v="9"/>
    </i>
    <i>
      <x v="10"/>
    </i>
    <i>
      <x v="11"/>
    </i>
  </rowItems>
  <colItems count="1">
    <i/>
  </colItems>
  <dataFields count="1">
    <dataField name="Sum of Count" fld="1" baseField="0" baseItem="0" numFmtId="3"/>
  </dataFields>
  <pivotHierarchies count="1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0615CA-0FE1-42C5-9DA4-5F9D6B3BEB09}" name="TopCountry" cacheId="1"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P11:Q65" firstHeaderRow="1" firstDataRow="1" firstDataCol="1"/>
  <pivotFields count="2">
    <pivotField axis="axisRow" compact="0" allDrilled="1" outline="0" subtotalTop="0" showAll="0" dataSourceSort="1" defaultAttributeDrillState="1">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compact="0" outline="0" subtotalTop="0" showAll="0"/>
  </pivotFields>
  <rowFields count="1">
    <field x="0"/>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rowItems>
  <colItems count="1">
    <i/>
  </colItems>
  <dataFields count="1">
    <dataField name="Sum of Count" fld="1" baseField="0" baseItem="0" numFmtId="3"/>
  </dataFields>
  <pivotHierarchies count="1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C265E0-D7C1-42F3-80EB-81760C42F295}" name="TouristByYear" cacheId="2" applyNumberFormats="0" applyBorderFormats="0" applyFontFormats="0" applyPatternFormats="0" applyAlignmentFormats="0" applyWidthHeightFormats="1" dataCaption="Values" tag="36324742-bd99-49af-9442-0e3e54ab1e26" updatedVersion="8" minRefreshableVersion="3" itemPrintTitles="1" createdVersion="8" indent="0" compact="0" compactData="0" multipleFieldFilters="0" chartFormat="8">
  <location ref="B3:C15" firstHeaderRow="1" firstDataRow="1" firstDataCol="1"/>
  <pivotFields count="2">
    <pivotField axis="axisRow" compact="0" allDrilled="1" outline="0" subtotalTop="0" showAll="0" dataSourceSort="1" defaultAttributeDrillState="1">
      <items count="12">
        <item x="0"/>
        <item x="1"/>
        <item x="2"/>
        <item x="3"/>
        <item x="4"/>
        <item x="5"/>
        <item x="6"/>
        <item x="7"/>
        <item x="8"/>
        <item x="9"/>
        <item x="10"/>
        <item t="default"/>
      </items>
    </pivotField>
    <pivotField dataField="1" compact="0" outline="0" subtotalTop="0" showAll="0"/>
  </pivotFields>
  <rowFields count="1">
    <field x="0"/>
  </rowFields>
  <rowItems count="12">
    <i>
      <x/>
    </i>
    <i>
      <x v="1"/>
    </i>
    <i>
      <x v="2"/>
    </i>
    <i>
      <x v="3"/>
    </i>
    <i>
      <x v="4"/>
    </i>
    <i>
      <x v="5"/>
    </i>
    <i>
      <x v="6"/>
    </i>
    <i>
      <x v="7"/>
    </i>
    <i>
      <x v="8"/>
    </i>
    <i>
      <x v="9"/>
    </i>
    <i>
      <x v="10"/>
    </i>
    <i t="grand">
      <x/>
    </i>
  </rowItems>
  <colItems count="1">
    <i/>
  </colItems>
  <dataFields count="1">
    <dataField name="Total Tourists" fld="1" baseField="0" baseItem="0" numFmtId="3"/>
  </dataFields>
  <chartFormats count="1">
    <chartFormat chart="6" format="2"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Total Tourists"/>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692FF17-16B6-4C73-8053-F97891E1688B}" name="TotalTourists" cacheId="8" applyNumberFormats="0" applyBorderFormats="0" applyFontFormats="0" applyPatternFormats="0" applyAlignmentFormats="0" applyWidthHeightFormats="1" dataCaption="Values" updatedVersion="8" minRefreshableVersion="3" itemPrintTitles="1" createdVersion="8" indent="0" compact="0" compactData="0" multipleFieldFilters="0">
  <location ref="N11:N12" firstHeaderRow="1" firstDataRow="1" firstDataCol="0"/>
  <pivotFields count="2">
    <pivotField dataField="1" compact="0" outline="0" subtotalTop="0" showAll="0"/>
    <pivotField compact="0" allDrilled="1" outline="0" subtotalTop="0" showAll="0" dataSourceSort="1" defaultAttributeDrillState="1"/>
  </pivotFields>
  <rowItems count="1">
    <i/>
  </rowItems>
  <colItems count="1">
    <i/>
  </colItems>
  <dataFields count="1">
    <dataField name="Total Tourists" fld="0" baseField="0" baseItem="0" numFmtId="3"/>
  </dataFields>
  <pivotHierarchies count="1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Total Tourists"/>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4ADE31E-FC9C-4B49-BD56-D20FD9841FC1}" name="TouristsBySeasonalTrend" cacheId="7" applyNumberFormats="0" applyBorderFormats="0" applyFontFormats="0" applyPatternFormats="0" applyAlignmentFormats="0" applyWidthHeightFormats="1" dataCaption="Values" tag="907cc1dd-75d8-4fc8-8aa1-f38e720d251a" updatedVersion="8" minRefreshableVersion="3" rowGrandTotals="0" colGrandTotals="0" itemPrintTitles="1" createdVersion="8" indent="0" compact="0" compactData="0" multipleFieldFilters="0" chartFormat="11">
  <location ref="Q3:AB8" firstHeaderRow="1" firstDataRow="2" firstDataCol="1"/>
  <pivotFields count="3">
    <pivotField axis="axisRow" compact="0" allDrilled="1" outline="0" subtotalTop="0" showAll="0" dataSourceSort="1" defaultAttributeDrillState="1">
      <items count="5">
        <item x="0"/>
        <item x="1"/>
        <item x="2"/>
        <item x="3"/>
        <item t="default"/>
      </items>
    </pivotField>
    <pivotField dataField="1" compact="0" outline="0" subtotalTop="0" showAll="0"/>
    <pivotField axis="axisCol" compact="0" allDrilled="1" outline="0" subtotalTop="0" showAll="0" dataSourceSort="1" defaultAttributeDrillState="1">
      <items count="12">
        <item x="0"/>
        <item x="1"/>
        <item x="2"/>
        <item x="3"/>
        <item x="4"/>
        <item x="5"/>
        <item x="6"/>
        <item x="7"/>
        <item x="8"/>
        <item x="9"/>
        <item x="10"/>
        <item t="default"/>
      </items>
    </pivotField>
  </pivotFields>
  <rowFields count="1">
    <field x="0"/>
  </rowFields>
  <rowItems count="4">
    <i>
      <x/>
    </i>
    <i>
      <x v="1"/>
    </i>
    <i>
      <x v="2"/>
    </i>
    <i>
      <x v="3"/>
    </i>
  </rowItems>
  <colFields count="1">
    <field x="2"/>
  </colFields>
  <colItems count="11">
    <i>
      <x/>
    </i>
    <i>
      <x v="1"/>
    </i>
    <i>
      <x v="2"/>
    </i>
    <i>
      <x v="3"/>
    </i>
    <i>
      <x v="4"/>
    </i>
    <i>
      <x v="5"/>
    </i>
    <i>
      <x v="6"/>
    </i>
    <i>
      <x v="7"/>
    </i>
    <i>
      <x v="8"/>
    </i>
    <i>
      <x v="9"/>
    </i>
    <i>
      <x v="10"/>
    </i>
  </colItems>
  <dataFields count="1">
    <dataField name="Total Tourists" fld="1" baseField="0" baseItem="0" numFmtId="3"/>
  </dataFields>
  <chartFormats count="24">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5"/>
          </reference>
        </references>
      </pivotArea>
    </chartFormat>
    <chartFormat chart="0" format="6" series="1">
      <pivotArea type="data" outline="0" fieldPosition="0">
        <references count="2">
          <reference field="4294967294" count="1" selected="0">
            <x v="0"/>
          </reference>
          <reference field="2" count="1" selected="0">
            <x v="6"/>
          </reference>
        </references>
      </pivotArea>
    </chartFormat>
    <chartFormat chart="0" format="7" series="1">
      <pivotArea type="data" outline="0" fieldPosition="0">
        <references count="2">
          <reference field="4294967294" count="1" selected="0">
            <x v="0"/>
          </reference>
          <reference field="2" count="1" selected="0">
            <x v="7"/>
          </reference>
        </references>
      </pivotArea>
    </chartFormat>
    <chartFormat chart="0" format="8" series="1">
      <pivotArea type="data" outline="0" fieldPosition="0">
        <references count="2">
          <reference field="4294967294" count="1" selected="0">
            <x v="0"/>
          </reference>
          <reference field="2" count="1" selected="0">
            <x v="8"/>
          </reference>
        </references>
      </pivotArea>
    </chartFormat>
    <chartFormat chart="0" format="9" series="1">
      <pivotArea type="data" outline="0" fieldPosition="0">
        <references count="2">
          <reference field="4294967294" count="1" selected="0">
            <x v="0"/>
          </reference>
          <reference field="2" count="1" selected="0">
            <x v="9"/>
          </reference>
        </references>
      </pivotArea>
    </chartFormat>
    <chartFormat chart="0" format="10" series="1">
      <pivotArea type="data" outline="0" fieldPosition="0">
        <references count="2">
          <reference field="4294967294" count="1" selected="0">
            <x v="0"/>
          </reference>
          <reference field="2" count="1" selected="0">
            <x v="10"/>
          </reference>
        </references>
      </pivotArea>
    </chartFormat>
    <chartFormat chart="10" format="22" series="1">
      <pivotArea type="data" outline="0" fieldPosition="0">
        <references count="2">
          <reference field="4294967294" count="1" selected="0">
            <x v="0"/>
          </reference>
          <reference field="2" count="1" selected="0">
            <x v="0"/>
          </reference>
        </references>
      </pivotArea>
    </chartFormat>
    <chartFormat chart="10" format="23" series="1">
      <pivotArea type="data" outline="0" fieldPosition="0">
        <references count="2">
          <reference field="4294967294" count="1" selected="0">
            <x v="0"/>
          </reference>
          <reference field="2" count="1" selected="0">
            <x v="1"/>
          </reference>
        </references>
      </pivotArea>
    </chartFormat>
    <chartFormat chart="10" format="24" series="1">
      <pivotArea type="data" outline="0" fieldPosition="0">
        <references count="2">
          <reference field="4294967294" count="1" selected="0">
            <x v="0"/>
          </reference>
          <reference field="2" count="1" selected="0">
            <x v="2"/>
          </reference>
        </references>
      </pivotArea>
    </chartFormat>
    <chartFormat chart="10" format="25" series="1">
      <pivotArea type="data" outline="0" fieldPosition="0">
        <references count="2">
          <reference field="4294967294" count="1" selected="0">
            <x v="0"/>
          </reference>
          <reference field="2" count="1" selected="0">
            <x v="3"/>
          </reference>
        </references>
      </pivotArea>
    </chartFormat>
    <chartFormat chart="10" format="26" series="1">
      <pivotArea type="data" outline="0" fieldPosition="0">
        <references count="2">
          <reference field="4294967294" count="1" selected="0">
            <x v="0"/>
          </reference>
          <reference field="2" count="1" selected="0">
            <x v="4"/>
          </reference>
        </references>
      </pivotArea>
    </chartFormat>
    <chartFormat chart="10" format="27" series="1">
      <pivotArea type="data" outline="0" fieldPosition="0">
        <references count="2">
          <reference field="4294967294" count="1" selected="0">
            <x v="0"/>
          </reference>
          <reference field="2" count="1" selected="0">
            <x v="5"/>
          </reference>
        </references>
      </pivotArea>
    </chartFormat>
    <chartFormat chart="10" format="28" series="1">
      <pivotArea type="data" outline="0" fieldPosition="0">
        <references count="2">
          <reference field="4294967294" count="1" selected="0">
            <x v="0"/>
          </reference>
          <reference field="2" count="1" selected="0">
            <x v="6"/>
          </reference>
        </references>
      </pivotArea>
    </chartFormat>
    <chartFormat chart="10" format="29" series="1">
      <pivotArea type="data" outline="0" fieldPosition="0">
        <references count="2">
          <reference field="4294967294" count="1" selected="0">
            <x v="0"/>
          </reference>
          <reference field="2" count="1" selected="0">
            <x v="7"/>
          </reference>
        </references>
      </pivotArea>
    </chartFormat>
    <chartFormat chart="10" format="30" series="1">
      <pivotArea type="data" outline="0" fieldPosition="0">
        <references count="2">
          <reference field="4294967294" count="1" selected="0">
            <x v="0"/>
          </reference>
          <reference field="2" count="1" selected="0">
            <x v="8"/>
          </reference>
        </references>
      </pivotArea>
    </chartFormat>
    <chartFormat chart="10" format="31" series="1">
      <pivotArea type="data" outline="0" fieldPosition="0">
        <references count="2">
          <reference field="4294967294" count="1" selected="0">
            <x v="0"/>
          </reference>
          <reference field="2" count="1" selected="0">
            <x v="9"/>
          </reference>
        </references>
      </pivotArea>
    </chartFormat>
    <chartFormat chart="10" format="32" series="1">
      <pivotArea type="data" outline="0" fieldPosition="0">
        <references count="2">
          <reference field="4294967294" count="1" selected="0">
            <x v="0"/>
          </reference>
          <reference field="2" count="1" selected="0">
            <x v="10"/>
          </reference>
        </references>
      </pivotArea>
    </chartFormat>
    <chartFormat chart="10" format="33" series="1">
      <pivotArea type="data" outline="0" fieldPosition="0">
        <references count="1">
          <reference field="4294967294" count="1" selected="0">
            <x v="0"/>
          </reference>
        </references>
      </pivotArea>
    </chartFormat>
    <chartFormat chart="0" format="11"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Total Tourists"/>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2C24BA-33B7-4700-A288-66C55B708323}" name="TouristsByMode" cacheId="6" applyNumberFormats="0" applyBorderFormats="0" applyFontFormats="0" applyPatternFormats="0" applyAlignmentFormats="0" applyWidthHeightFormats="1" dataCaption="Values" tag="03cc6aa1-6903-45a4-ab0e-d44e5d0b31ce" updatedVersion="8" minRefreshableVersion="3" itemPrintTitles="1" createdVersion="8" indent="0" compact="0" compactData="0" multipleFieldFilters="0" chartFormat="12">
  <location ref="N3:O8" firstHeaderRow="1" firstDataRow="1" firstDataCol="1"/>
  <pivotFields count="3">
    <pivotField axis="axisRow" compact="0" allDrilled="1" outline="0" subtotalTop="0" showAll="0" dataSourceSort="1" defaultAttributeDrillState="1">
      <items count="5">
        <item x="0"/>
        <item x="1"/>
        <item x="2"/>
        <item x="3"/>
        <item t="default"/>
      </items>
    </pivotField>
    <pivotField dataField="1" compact="0" outline="0" subtotalTop="0" showAll="0"/>
    <pivotField compact="0" allDrilled="1" outline="0" subtotalTop="0" showAll="0" dataSourceSort="1" defaultAttributeDrillState="1"/>
  </pivotFields>
  <rowFields count="1">
    <field x="0"/>
  </rowFields>
  <rowItems count="5">
    <i>
      <x/>
    </i>
    <i>
      <x v="1"/>
    </i>
    <i>
      <x v="2"/>
    </i>
    <i>
      <x v="3"/>
    </i>
    <i t="grand">
      <x/>
    </i>
  </rowItems>
  <colItems count="1">
    <i/>
  </colItems>
  <dataFields count="1">
    <dataField name="Total Tourists" fld="1" baseField="0" baseItem="0" numFmtId="3"/>
  </dataFields>
  <chartFormats count="10">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0" count="1" selected="0">
            <x v="1"/>
          </reference>
        </references>
      </pivotArea>
    </chartFormat>
    <chartFormat chart="7" format="2">
      <pivotArea type="data" outline="0" fieldPosition="0">
        <references count="2">
          <reference field="4294967294" count="1" selected="0">
            <x v="0"/>
          </reference>
          <reference field="0" count="1" selected="0">
            <x v="0"/>
          </reference>
        </references>
      </pivotArea>
    </chartFormat>
    <chartFormat chart="7" format="3">
      <pivotArea type="data" outline="0" fieldPosition="0">
        <references count="2">
          <reference field="4294967294" count="1" selected="0">
            <x v="0"/>
          </reference>
          <reference field="0" count="1" selected="0">
            <x v="2"/>
          </reference>
        </references>
      </pivotArea>
    </chartFormat>
    <chartFormat chart="7" format="4">
      <pivotArea type="data" outline="0" fieldPosition="0">
        <references count="2">
          <reference field="4294967294" count="1" selected="0">
            <x v="0"/>
          </reference>
          <reference field="0" count="1" selected="0">
            <x v="3"/>
          </reference>
        </references>
      </pivotArea>
    </chartFormat>
    <chartFormat chart="10" format="10" series="1">
      <pivotArea type="data" outline="0" fieldPosition="0">
        <references count="1">
          <reference field="4294967294" count="1" selected="0">
            <x v="0"/>
          </reference>
        </references>
      </pivotArea>
    </chartFormat>
    <chartFormat chart="10" format="11">
      <pivotArea type="data" outline="0" fieldPosition="0">
        <references count="2">
          <reference field="4294967294" count="1" selected="0">
            <x v="0"/>
          </reference>
          <reference field="0" count="1" selected="0">
            <x v="0"/>
          </reference>
        </references>
      </pivotArea>
    </chartFormat>
    <chartFormat chart="10" format="12">
      <pivotArea type="data" outline="0" fieldPosition="0">
        <references count="2">
          <reference field="4294967294" count="1" selected="0">
            <x v="0"/>
          </reference>
          <reference field="0" count="1" selected="0">
            <x v="1"/>
          </reference>
        </references>
      </pivotArea>
    </chartFormat>
    <chartFormat chart="10" format="13">
      <pivotArea type="data" outline="0" fieldPosition="0">
        <references count="2">
          <reference field="4294967294" count="1" selected="0">
            <x v="0"/>
          </reference>
          <reference field="0" count="1" selected="0">
            <x v="2"/>
          </reference>
        </references>
      </pivotArea>
    </chartFormat>
    <chartFormat chart="10" format="14">
      <pivotArea type="data" outline="0" fieldPosition="0">
        <references count="2">
          <reference field="4294967294" count="1" selected="0">
            <x v="0"/>
          </reference>
          <reference field="0" count="1" selected="0">
            <x v="3"/>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Total Tourists"/>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3CC123F-6FB7-4F58-919A-5D21E1442718}" name="TouristsByBrazilianState" cacheId="5" applyNumberFormats="0" applyBorderFormats="0" applyFontFormats="0" applyPatternFormats="0" applyAlignmentFormats="0" applyWidthHeightFormats="1" dataCaption="Values" tag="be3418f2-9f28-46c8-982c-19f63e69a08c" updatedVersion="8" minRefreshableVersion="3" itemPrintTitles="1" createdVersion="8" indent="0" compact="0" compactData="0" multipleFieldFilters="0" chartFormat="9">
  <location ref="K3:L22" firstHeaderRow="1" firstDataRow="1" firstDataCol="1"/>
  <pivotFields count="3">
    <pivotField axis="axisRow" compact="0" allDrilled="1" outline="0" subtotalTop="0" showAll="0" dataSourceSort="1" defaultAttributeDrillState="1">
      <items count="19">
        <item x="0"/>
        <item x="1"/>
        <item x="2"/>
        <item x="3"/>
        <item x="4"/>
        <item x="5"/>
        <item x="6"/>
        <item x="7"/>
        <item x="8"/>
        <item x="9"/>
        <item x="10"/>
        <item x="11"/>
        <item x="12"/>
        <item x="13"/>
        <item x="14"/>
        <item x="15"/>
        <item x="16"/>
        <item x="17"/>
        <item t="default"/>
      </items>
    </pivotField>
    <pivotField dataField="1" compact="0" outline="0" subtotalTop="0" showAll="0"/>
    <pivotField compact="0" allDrilled="1" outline="0" subtotalTop="0" showAll="0" dataSourceSort="1"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Items count="1">
    <i/>
  </colItems>
  <dataFields count="1">
    <dataField name="Total Tourists" fld="1" baseField="0" baseItem="0" numFmtId="3"/>
  </dataFields>
  <chartFormats count="2">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0" count="1" selected="0">
            <x v="17"/>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Total Tourists"/>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F08CDE8-A49D-48F8-8192-85333F2493B4}" name="TouristsByCountry" cacheId="4" applyNumberFormats="0" applyBorderFormats="0" applyFontFormats="0" applyPatternFormats="0" applyAlignmentFormats="0" applyWidthHeightFormats="1" dataCaption="Values" tag="18417dad-2895-40a7-a46b-8ff0676a8926" updatedVersion="8" minRefreshableVersion="3" rowGrandTotals="0" colGrandTotals="0" itemPrintTitles="1" createdVersion="8" indent="0" compact="0" compactData="0" multipleFieldFilters="0" chartFormat="25">
  <location ref="H3:I57" firstHeaderRow="1" firstDataRow="1" firstDataCol="1"/>
  <pivotFields count="3">
    <pivotField axis="axisRow" compact="0" allDrilled="1" outline="0" subtotalTop="0" showAll="0" dataSourceSort="1" defaultAttributeDrillState="1">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compact="0" outline="0" subtotalTop="0" showAll="0"/>
    <pivotField compact="0" allDrilled="1" outline="0" subtotalTop="0" showAll="0" dataSourceSort="1" defaultAttributeDrillState="1"/>
  </pivotFields>
  <rowFields count="1">
    <field x="0"/>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rowItems>
  <colItems count="1">
    <i/>
  </colItems>
  <dataFields count="1">
    <dataField name="Total Tourists" fld="1" baseField="0" baseItem="0" numFmtId="3"/>
  </dataFields>
  <chartFormats count="1">
    <chartFormat chart="17" format="2"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Total Tourists"/>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4EE3A0A-174F-4377-8F4A-D8570A5199E5}" name="TouristByContinent" cacheId="3" applyNumberFormats="0" applyBorderFormats="0" applyFontFormats="0" applyPatternFormats="0" applyAlignmentFormats="0" applyWidthHeightFormats="1" dataCaption="Values" tag="f6803a51-8cf1-4161-a0c1-8e92c3d751fc" updatedVersion="8" minRefreshableVersion="3" itemPrintTitles="1" createdVersion="8" indent="0" compact="0" compactData="0" multipleFieldFilters="0" chartFormat="9">
  <location ref="E3:F11" firstHeaderRow="1" firstDataRow="1" firstDataCol="1"/>
  <pivotFields count="3">
    <pivotField axis="axisRow" compact="0" allDrilled="1" outline="0" subtotalTop="0" showAll="0" dataSourceSort="1" defaultAttributeDrillState="1">
      <items count="8">
        <item x="0"/>
        <item x="1"/>
        <item x="2"/>
        <item x="3"/>
        <item x="4"/>
        <item x="5"/>
        <item x="6"/>
        <item t="default"/>
      </items>
    </pivotField>
    <pivotField dataField="1" compact="0" outline="0" subtotalTop="0" showAll="0"/>
    <pivotField compact="0" allDrilled="1" outline="0" subtotalTop="0" showAll="0" dataSourceSort="1" defaultAttributeDrillState="1"/>
  </pivotFields>
  <rowFields count="1">
    <field x="0"/>
  </rowFields>
  <rowItems count="8">
    <i>
      <x/>
    </i>
    <i>
      <x v="1"/>
    </i>
    <i>
      <x v="2"/>
    </i>
    <i>
      <x v="3"/>
    </i>
    <i>
      <x v="4"/>
    </i>
    <i>
      <x v="5"/>
    </i>
    <i>
      <x v="6"/>
    </i>
    <i t="grand">
      <x/>
    </i>
  </rowItems>
  <colItems count="1">
    <i/>
  </colItems>
  <dataFields count="1">
    <dataField name="Total Tourists" fld="1" baseField="0" baseItem="0" numFmtId="3"/>
  </dataFields>
  <chartFormats count="2">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6"/>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Total Tourists"/>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urism_data]"/>
      </x15:pivotTableUISettings>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785735C-6530-4462-86CA-FDE9A8E93393}" sourceName="[tourism_data].[Year]">
  <pivotTables>
    <pivotTable tabId="1" name="TouristByYear"/>
    <pivotTable tabId="1" name="TouristByContinent"/>
    <pivotTable tabId="1" name="TouristsByCountry"/>
    <pivotTable tabId="1" name="TouristsByBrazilianState"/>
    <pivotTable tabId="1" name="TouristsByMode"/>
    <pivotTable tabId="1" name="TouristsBySeasonalTrend"/>
    <pivotTable tabId="1" name="TotalTourists"/>
    <pivotTable tabId="2" name="TotalTouristsByMonths"/>
  </pivotTables>
  <data>
    <olap pivotCacheId="18133605">
      <levels count="2">
        <level uniqueName="[tourism_data].[Year].[(All)]" sourceCaption="(All)" count="0"/>
        <level uniqueName="[tourism_data].[Year].[Year]" sourceCaption="Year" count="11">
          <ranges>
            <range startItem="0">
              <i n="[tourism_data].[Year].&amp;[2005]" c="2005"/>
              <i n="[tourism_data].[Year].&amp;[2006]" c="2006"/>
              <i n="[tourism_data].[Year].&amp;[2007]" c="2007"/>
              <i n="[tourism_data].[Year].&amp;[2008]" c="2008"/>
              <i n="[tourism_data].[Year].&amp;[2009]" c="2009"/>
              <i n="[tourism_data].[Year].&amp;[2010]" c="2010"/>
              <i n="[tourism_data].[Year].&amp;[2011]" c="2011"/>
              <i n="[tourism_data].[Year].&amp;[2012]" c="2012"/>
              <i n="[tourism_data].[Year].&amp;[2013]" c="2013"/>
              <i n="[tourism_data].[Year].&amp;[2014]" c="2014"/>
              <i n="[tourism_data].[Year].&amp;[2015]" c="2015"/>
            </range>
          </ranges>
        </level>
      </levels>
      <selections count="1">
        <selection n="[tourism_data].[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144B649-85AE-4F71-B18C-1B8EEC96DD2E}" cache="Slicer_Year" caption="Year" columnCount="13" level="1" style="SlicerStyleLight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10" Type="http://schemas.openxmlformats.org/officeDocument/2006/relationships/printerSettings" Target="../printerSettings/printerSettings1.bin"/><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FBD40-018E-4132-BD50-F2B4F30E30F6}">
  <dimension ref="A1:AG47"/>
  <sheetViews>
    <sheetView topLeftCell="A3" zoomScale="106" zoomScaleNormal="100" workbookViewId="0">
      <selection activeCell="AI9" sqref="AI9"/>
    </sheetView>
  </sheetViews>
  <sheetFormatPr defaultRowHeight="15" x14ac:dyDescent="0.25"/>
  <cols>
    <col min="1" max="1" width="2.140625" customWidth="1"/>
    <col min="19" max="19" width="2.85546875" customWidth="1"/>
    <col min="20" max="20" width="10.85546875" bestFit="1" customWidth="1"/>
    <col min="21" max="21" width="12.85546875" bestFit="1" customWidth="1"/>
    <col min="31" max="31" width="10.85546875" bestFit="1" customWidth="1"/>
    <col min="32" max="32" width="12.85546875" bestFit="1" customWidth="1"/>
    <col min="33" max="33" width="3.28515625" customWidth="1"/>
  </cols>
  <sheetData>
    <row r="1" spans="1:33" x14ac:dyDescent="0.25">
      <c r="A1" s="4"/>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row>
    <row r="2" spans="1:33" ht="30.75" thickBot="1" x14ac:dyDescent="0.45">
      <c r="A2" s="4"/>
      <c r="B2" s="7" t="s">
        <v>111</v>
      </c>
      <c r="C2" s="8"/>
      <c r="D2" s="8"/>
      <c r="E2" s="8"/>
      <c r="F2" s="8"/>
      <c r="G2" s="8"/>
      <c r="H2" s="8"/>
      <c r="I2" s="8"/>
      <c r="J2" s="8"/>
      <c r="K2" s="8"/>
      <c r="L2" s="8"/>
      <c r="M2" s="8"/>
      <c r="N2" s="8"/>
      <c r="O2" s="8"/>
      <c r="P2" s="8"/>
      <c r="Q2" s="6"/>
      <c r="R2" s="6"/>
      <c r="S2" s="6"/>
      <c r="T2" s="6"/>
      <c r="U2" s="6"/>
      <c r="V2" s="6"/>
      <c r="W2" s="6"/>
      <c r="X2" s="6"/>
      <c r="Y2" s="6"/>
      <c r="Z2" s="6"/>
      <c r="AA2" s="6"/>
      <c r="AB2" s="6"/>
      <c r="AC2" s="6"/>
      <c r="AD2" s="6"/>
      <c r="AE2" s="6"/>
      <c r="AF2" s="6"/>
      <c r="AG2" s="6"/>
    </row>
    <row r="3" spans="1:33" ht="15.75" thickTop="1" x14ac:dyDescent="0.25">
      <c r="A3" s="4"/>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row>
    <row r="4" spans="1:33" x14ac:dyDescent="0.25">
      <c r="A4" s="4"/>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row>
    <row r="5" spans="1:33" x14ac:dyDescent="0.25">
      <c r="A5" s="4"/>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row>
    <row r="6" spans="1:33" x14ac:dyDescent="0.25">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row>
    <row r="7" spans="1:33"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row>
    <row r="8" spans="1:33" x14ac:dyDescent="0.25">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row>
    <row r="9" spans="1:33" x14ac:dyDescent="0.25">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row>
    <row r="10" spans="1:33" x14ac:dyDescent="0.25">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row>
    <row r="11" spans="1:33" x14ac:dyDescent="0.25">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row>
    <row r="12" spans="1:33" x14ac:dyDescent="0.25">
      <c r="A12" s="4"/>
      <c r="B12" s="4"/>
      <c r="C12" s="4"/>
      <c r="D12" s="4"/>
      <c r="E12" s="4"/>
      <c r="F12" s="4"/>
      <c r="G12" s="4"/>
      <c r="H12" s="4"/>
      <c r="I12" s="4"/>
      <c r="J12" s="4"/>
      <c r="K12" s="4"/>
      <c r="L12" s="4"/>
      <c r="M12" s="4"/>
      <c r="N12" s="4"/>
      <c r="O12" s="4"/>
      <c r="P12" s="4"/>
      <c r="Q12" s="4"/>
      <c r="R12" s="4"/>
      <c r="S12" s="4"/>
      <c r="T12" s="4" t="s">
        <v>99</v>
      </c>
      <c r="U12" s="4" t="s">
        <v>10</v>
      </c>
      <c r="V12" s="4"/>
      <c r="W12" s="4"/>
      <c r="X12" s="4"/>
      <c r="Y12" s="4"/>
      <c r="Z12" s="4"/>
      <c r="AA12" s="4"/>
      <c r="AB12" s="4"/>
      <c r="AC12" s="4"/>
      <c r="AD12" s="4"/>
      <c r="AE12" s="4"/>
      <c r="AF12" s="4"/>
      <c r="AG12" s="4"/>
    </row>
    <row r="13" spans="1:33" x14ac:dyDescent="0.25">
      <c r="A13" s="4"/>
      <c r="B13" s="4"/>
      <c r="C13" s="4"/>
      <c r="D13" s="4"/>
      <c r="E13" s="4"/>
      <c r="F13" s="4"/>
      <c r="G13" s="4"/>
      <c r="H13" s="4"/>
      <c r="I13" s="4"/>
      <c r="J13" s="4"/>
      <c r="K13" s="4"/>
      <c r="L13" s="4"/>
      <c r="M13" s="4"/>
      <c r="N13" s="4"/>
      <c r="O13" s="4"/>
      <c r="P13" s="4"/>
      <c r="Q13" s="4"/>
      <c r="R13" s="4"/>
      <c r="S13" s="4"/>
      <c r="T13" s="4" t="s">
        <v>103</v>
      </c>
      <c r="U13" s="5">
        <v>8197018</v>
      </c>
      <c r="V13" s="4"/>
      <c r="W13" s="4"/>
      <c r="X13" s="4"/>
      <c r="Y13" s="4"/>
      <c r="Z13" s="4"/>
      <c r="AA13" s="4"/>
      <c r="AB13" s="4"/>
      <c r="AC13" s="4"/>
      <c r="AD13" s="4"/>
      <c r="AE13" s="4"/>
      <c r="AF13" s="4"/>
      <c r="AG13" s="4"/>
    </row>
    <row r="14" spans="1:33" x14ac:dyDescent="0.25">
      <c r="A14" s="4"/>
      <c r="B14" s="4"/>
      <c r="C14" s="4"/>
      <c r="D14" s="4"/>
      <c r="E14" s="4"/>
      <c r="F14" s="4"/>
      <c r="G14" s="4"/>
      <c r="H14" s="4"/>
      <c r="I14" s="4"/>
      <c r="J14" s="4"/>
      <c r="K14" s="4"/>
      <c r="L14" s="4"/>
      <c r="M14" s="4"/>
      <c r="N14" s="4"/>
      <c r="O14" s="4"/>
      <c r="P14" s="4"/>
      <c r="Q14" s="4"/>
      <c r="R14" s="4"/>
      <c r="S14" s="4"/>
      <c r="T14" s="4" t="s">
        <v>102</v>
      </c>
      <c r="U14" s="5">
        <v>6459197</v>
      </c>
      <c r="V14" s="4"/>
      <c r="W14" s="4"/>
      <c r="X14" s="4"/>
      <c r="Y14" s="4"/>
      <c r="Z14" s="4"/>
      <c r="AA14" s="4"/>
      <c r="AB14" s="4"/>
      <c r="AC14" s="4"/>
      <c r="AD14" s="4"/>
      <c r="AE14" s="4"/>
      <c r="AF14" s="4"/>
      <c r="AG14" s="4"/>
    </row>
    <row r="15" spans="1:33" x14ac:dyDescent="0.25">
      <c r="A15" s="4"/>
      <c r="B15" s="4"/>
      <c r="C15" s="4"/>
      <c r="D15" s="4"/>
      <c r="E15" s="4"/>
      <c r="F15" s="4"/>
      <c r="G15" s="4"/>
      <c r="H15" s="4"/>
      <c r="I15" s="4"/>
      <c r="J15" s="4"/>
      <c r="K15" s="4"/>
      <c r="L15" s="4"/>
      <c r="M15" s="4"/>
      <c r="N15" s="4"/>
      <c r="O15" s="4"/>
      <c r="P15" s="4"/>
      <c r="Q15" s="4"/>
      <c r="R15" s="4"/>
      <c r="S15" s="4"/>
      <c r="T15" s="4" t="s">
        <v>98</v>
      </c>
      <c r="U15" s="5">
        <v>5653153</v>
      </c>
      <c r="V15" s="4"/>
      <c r="W15" s="4"/>
      <c r="X15" s="4"/>
      <c r="Y15" s="4"/>
      <c r="Z15" s="4"/>
      <c r="AA15" s="4"/>
      <c r="AB15" s="4"/>
      <c r="AC15" s="4"/>
      <c r="AD15" s="4"/>
      <c r="AE15" s="4"/>
      <c r="AF15" s="4"/>
      <c r="AG15" s="4"/>
    </row>
    <row r="16" spans="1:33" x14ac:dyDescent="0.25">
      <c r="A16" s="4"/>
      <c r="B16" s="4"/>
      <c r="C16" s="4"/>
      <c r="D16" s="4"/>
      <c r="E16" s="4"/>
      <c r="F16" s="4"/>
      <c r="G16" s="4"/>
      <c r="H16" s="4"/>
      <c r="I16" s="4"/>
      <c r="J16" s="4"/>
      <c r="K16" s="4"/>
      <c r="L16" s="4"/>
      <c r="M16" s="4"/>
      <c r="N16" s="4"/>
      <c r="O16" s="4"/>
      <c r="P16" s="4"/>
      <c r="Q16" s="4"/>
      <c r="R16" s="4"/>
      <c r="S16" s="4"/>
      <c r="T16" s="4" t="s">
        <v>97</v>
      </c>
      <c r="U16" s="5">
        <v>4255834</v>
      </c>
      <c r="V16" s="4"/>
      <c r="W16" s="4"/>
      <c r="X16" s="4"/>
      <c r="Y16" s="4"/>
      <c r="Z16" s="4"/>
      <c r="AA16" s="4"/>
      <c r="AB16" s="4"/>
      <c r="AC16" s="4"/>
      <c r="AD16" s="4"/>
      <c r="AE16" s="4"/>
      <c r="AF16" s="4"/>
      <c r="AG16" s="4"/>
    </row>
    <row r="17" spans="1:33" x14ac:dyDescent="0.25">
      <c r="A17" s="4"/>
      <c r="B17" s="4"/>
      <c r="C17" s="4"/>
      <c r="D17" s="4"/>
      <c r="E17" s="4"/>
      <c r="F17" s="4"/>
      <c r="G17" s="4"/>
      <c r="H17" s="4"/>
      <c r="I17" s="4"/>
      <c r="J17" s="4"/>
      <c r="K17" s="4"/>
      <c r="L17" s="4"/>
      <c r="M17" s="4"/>
      <c r="N17" s="4"/>
      <c r="O17" s="4"/>
      <c r="P17" s="4"/>
      <c r="Q17" s="4"/>
      <c r="R17" s="4"/>
      <c r="S17" s="4"/>
      <c r="T17" s="4" t="s">
        <v>96</v>
      </c>
      <c r="U17" s="5">
        <v>3565614</v>
      </c>
      <c r="V17" s="4"/>
      <c r="W17" s="4"/>
      <c r="X17" s="4"/>
      <c r="Y17" s="4"/>
      <c r="Z17" s="4"/>
      <c r="AA17" s="4"/>
      <c r="AB17" s="4"/>
      <c r="AC17" s="4"/>
      <c r="AD17" s="4"/>
      <c r="AE17" s="4"/>
      <c r="AF17" s="4"/>
      <c r="AG17" s="4"/>
    </row>
    <row r="18" spans="1:33" x14ac:dyDescent="0.25">
      <c r="A18" s="4"/>
      <c r="B18" s="4"/>
      <c r="C18" s="4"/>
      <c r="D18" s="4"/>
      <c r="E18" s="4"/>
      <c r="F18" s="4"/>
      <c r="G18" s="4"/>
      <c r="H18" s="4"/>
      <c r="I18" s="4"/>
      <c r="J18" s="4"/>
      <c r="K18" s="4"/>
      <c r="L18" s="4"/>
      <c r="M18" s="4"/>
      <c r="N18" s="4"/>
      <c r="O18" s="4"/>
      <c r="P18" s="4"/>
      <c r="Q18" s="4"/>
      <c r="R18" s="4"/>
      <c r="S18" s="4"/>
      <c r="T18" s="4" t="s">
        <v>105</v>
      </c>
      <c r="U18" s="5">
        <v>4160678</v>
      </c>
      <c r="V18" s="4"/>
      <c r="W18" s="4"/>
      <c r="X18" s="4"/>
      <c r="Y18" s="4"/>
      <c r="Z18" s="4"/>
      <c r="AA18" s="4"/>
      <c r="AB18" s="4"/>
      <c r="AC18" s="4"/>
      <c r="AD18" s="4"/>
      <c r="AE18" s="4"/>
      <c r="AF18" s="4"/>
      <c r="AG18" s="4"/>
    </row>
    <row r="19" spans="1:33" x14ac:dyDescent="0.25">
      <c r="A19" s="4"/>
      <c r="B19" s="4"/>
      <c r="C19" s="4"/>
      <c r="D19" s="4"/>
      <c r="E19" s="4"/>
      <c r="F19" s="4"/>
      <c r="G19" s="4"/>
      <c r="H19" s="4"/>
      <c r="I19" s="4"/>
      <c r="J19" s="4"/>
      <c r="K19" s="4"/>
      <c r="L19" s="4"/>
      <c r="M19" s="4"/>
      <c r="N19" s="4"/>
      <c r="O19" s="4"/>
      <c r="P19" s="4"/>
      <c r="Q19" s="4"/>
      <c r="R19" s="4"/>
      <c r="S19" s="4"/>
      <c r="T19" s="4" t="s">
        <v>104</v>
      </c>
      <c r="U19" s="5">
        <v>4729134</v>
      </c>
      <c r="V19" s="4"/>
      <c r="W19" s="4"/>
      <c r="X19" s="4"/>
      <c r="Y19" s="4"/>
      <c r="Z19" s="4"/>
      <c r="AA19" s="4"/>
      <c r="AB19" s="4"/>
      <c r="AC19" s="4"/>
      <c r="AD19" s="4"/>
      <c r="AE19" s="4"/>
      <c r="AF19" s="4"/>
      <c r="AG19" s="4"/>
    </row>
    <row r="20" spans="1:33" x14ac:dyDescent="0.25">
      <c r="A20" s="4"/>
      <c r="B20" s="4"/>
      <c r="C20" s="4"/>
      <c r="D20" s="4"/>
      <c r="E20" s="4"/>
      <c r="F20" s="4"/>
      <c r="G20" s="4"/>
      <c r="H20" s="4"/>
      <c r="I20" s="4"/>
      <c r="J20" s="4"/>
      <c r="K20" s="4"/>
      <c r="L20" s="4"/>
      <c r="M20" s="4"/>
      <c r="N20" s="4"/>
      <c r="O20" s="4"/>
      <c r="P20" s="4"/>
      <c r="Q20" s="4"/>
      <c r="R20" s="4"/>
      <c r="S20" s="4"/>
      <c r="T20" s="4" t="s">
        <v>100</v>
      </c>
      <c r="U20" s="5">
        <v>4122439</v>
      </c>
      <c r="V20" s="4"/>
      <c r="W20" s="4"/>
      <c r="X20" s="4"/>
      <c r="Y20" s="4"/>
      <c r="Z20" s="4"/>
      <c r="AA20" s="4"/>
      <c r="AB20" s="4"/>
      <c r="AC20" s="4"/>
      <c r="AD20" s="4"/>
      <c r="AE20" s="4"/>
      <c r="AF20" s="4"/>
      <c r="AG20" s="4"/>
    </row>
    <row r="21" spans="1:33" x14ac:dyDescent="0.25">
      <c r="A21" s="4"/>
      <c r="B21" s="4"/>
      <c r="C21" s="4"/>
      <c r="D21" s="4"/>
      <c r="E21" s="4"/>
      <c r="F21" s="4"/>
      <c r="G21" s="4"/>
      <c r="H21" s="4"/>
      <c r="I21" s="4"/>
      <c r="J21" s="4"/>
      <c r="K21" s="4"/>
      <c r="L21" s="4"/>
      <c r="M21" s="4"/>
      <c r="N21" s="4"/>
      <c r="O21" s="4"/>
      <c r="P21" s="4"/>
      <c r="Q21" s="4"/>
      <c r="R21" s="4"/>
      <c r="S21" s="4"/>
      <c r="T21" s="4" t="s">
        <v>108</v>
      </c>
      <c r="U21" s="5">
        <v>3585577</v>
      </c>
      <c r="V21" s="4"/>
      <c r="W21" s="4"/>
      <c r="X21" s="4"/>
      <c r="Y21" s="4"/>
      <c r="Z21" s="4"/>
      <c r="AA21" s="4"/>
      <c r="AB21" s="4"/>
      <c r="AC21" s="4"/>
      <c r="AD21" s="4"/>
      <c r="AE21" s="4"/>
      <c r="AF21" s="4"/>
      <c r="AG21" s="4"/>
    </row>
    <row r="22" spans="1:33" x14ac:dyDescent="0.25">
      <c r="A22" s="4"/>
      <c r="B22" s="4"/>
      <c r="C22" s="4"/>
      <c r="D22" s="4"/>
      <c r="E22" s="4"/>
      <c r="F22" s="4"/>
      <c r="G22" s="4"/>
      <c r="H22" s="4"/>
      <c r="I22" s="4"/>
      <c r="J22" s="4"/>
      <c r="K22" s="4"/>
      <c r="L22" s="4"/>
      <c r="M22" s="4"/>
      <c r="N22" s="4"/>
      <c r="O22" s="4"/>
      <c r="P22" s="4"/>
      <c r="Q22" s="4"/>
      <c r="R22" s="4"/>
      <c r="S22" s="4"/>
      <c r="T22" s="4" t="s">
        <v>107</v>
      </c>
      <c r="U22" s="5">
        <v>4346032</v>
      </c>
      <c r="V22" s="4"/>
      <c r="W22" s="4"/>
      <c r="X22" s="4"/>
      <c r="Y22" s="4"/>
      <c r="Z22" s="4"/>
      <c r="AA22" s="4"/>
      <c r="AB22" s="4"/>
      <c r="AC22" s="4"/>
      <c r="AD22" s="4"/>
      <c r="AE22" s="4"/>
      <c r="AF22" s="4"/>
      <c r="AG22" s="4"/>
    </row>
    <row r="23" spans="1:33" x14ac:dyDescent="0.25">
      <c r="A23" s="4"/>
      <c r="B23" s="4"/>
      <c r="C23" s="4"/>
      <c r="D23" s="4"/>
      <c r="E23" s="4"/>
      <c r="F23" s="4"/>
      <c r="G23" s="4"/>
      <c r="H23" s="4"/>
      <c r="I23" s="4"/>
      <c r="J23" s="4"/>
      <c r="K23" s="4"/>
      <c r="L23" s="4"/>
      <c r="M23" s="4"/>
      <c r="N23" s="4"/>
      <c r="O23" s="4"/>
      <c r="P23" s="4"/>
      <c r="Q23" s="4"/>
      <c r="R23" s="4"/>
      <c r="S23" s="4"/>
      <c r="T23" s="4" t="s">
        <v>106</v>
      </c>
      <c r="U23" s="5">
        <v>4797062</v>
      </c>
      <c r="V23" s="4"/>
      <c r="W23" s="4"/>
      <c r="X23" s="4"/>
      <c r="Y23" s="4"/>
      <c r="Z23" s="4"/>
      <c r="AA23" s="4"/>
      <c r="AB23" s="4"/>
      <c r="AC23" s="4"/>
      <c r="AD23" s="4"/>
      <c r="AE23" s="4"/>
      <c r="AF23" s="4"/>
      <c r="AG23" s="4"/>
    </row>
    <row r="24" spans="1:33" x14ac:dyDescent="0.25">
      <c r="A24" s="4"/>
      <c r="B24" s="4"/>
      <c r="C24" s="4"/>
      <c r="D24" s="4"/>
      <c r="E24" s="4"/>
      <c r="F24" s="4"/>
      <c r="G24" s="4"/>
      <c r="H24" s="4"/>
      <c r="I24" s="4"/>
      <c r="J24" s="4"/>
      <c r="K24" s="4"/>
      <c r="L24" s="4"/>
      <c r="M24" s="4"/>
      <c r="N24" s="4"/>
      <c r="O24" s="4"/>
      <c r="P24" s="4"/>
      <c r="Q24" s="4"/>
      <c r="R24" s="4"/>
      <c r="S24" s="4"/>
      <c r="T24" s="4" t="s">
        <v>101</v>
      </c>
      <c r="U24" s="5">
        <v>6195293</v>
      </c>
      <c r="V24" s="4"/>
      <c r="W24" s="4"/>
      <c r="X24" s="4"/>
      <c r="Y24" s="4"/>
      <c r="Z24" s="4"/>
      <c r="AA24" s="4"/>
      <c r="AB24" s="4"/>
      <c r="AC24" s="4"/>
      <c r="AD24" s="4"/>
      <c r="AE24" s="4"/>
      <c r="AF24" s="4"/>
      <c r="AG24" s="4"/>
    </row>
    <row r="25" spans="1:33" x14ac:dyDescent="0.25">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row>
    <row r="26" spans="1:33" x14ac:dyDescent="0.25">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row>
    <row r="27" spans="1:33" x14ac:dyDescent="0.25">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row>
    <row r="28" spans="1:33" x14ac:dyDescent="0.25">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row>
    <row r="29" spans="1:33" x14ac:dyDescent="0.25">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row>
    <row r="30" spans="1:33" x14ac:dyDescent="0.25">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1:33" x14ac:dyDescent="0.25">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row>
    <row r="32" spans="1:33" x14ac:dyDescent="0.25">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row>
    <row r="33" spans="1:33" x14ac:dyDescent="0.25">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row>
    <row r="34" spans="1:33" x14ac:dyDescent="0.25">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row>
    <row r="35" spans="1:33" x14ac:dyDescent="0.25">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row>
    <row r="36" spans="1:33" x14ac:dyDescent="0.25">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row>
    <row r="37" spans="1:33" x14ac:dyDescent="0.25">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row>
    <row r="38" spans="1:33" x14ac:dyDescent="0.25">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row>
    <row r="39" spans="1:33" x14ac:dyDescent="0.25">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row>
    <row r="40" spans="1:33" x14ac:dyDescent="0.25">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row>
    <row r="41" spans="1:33" x14ac:dyDescent="0.25">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row>
    <row r="42" spans="1:33" x14ac:dyDescent="0.25">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row>
    <row r="43" spans="1:33" x14ac:dyDescent="0.25">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row>
    <row r="44" spans="1:33" x14ac:dyDescent="0.25">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row>
    <row r="45" spans="1:33" x14ac:dyDescent="0.25">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row>
    <row r="46" spans="1:33" x14ac:dyDescent="0.25">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row>
    <row r="47" spans="1:33" x14ac:dyDescent="0.25">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row>
  </sheetData>
  <conditionalFormatting pivot="1" sqref="U13:U24">
    <cfRule type="top10" dxfId="6" priority="2" rank="3"/>
  </conditionalFormatting>
  <conditionalFormatting pivot="1" sqref="U13:U24">
    <cfRule type="top10" dxfId="5" priority="1" rank="3"/>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47E83-5B8A-483E-8C03-483863C4F8FF}">
  <dimension ref="B3:AB65"/>
  <sheetViews>
    <sheetView tabSelected="1" topLeftCell="A11" workbookViewId="0">
      <selection activeCell="B18" sqref="B18"/>
    </sheetView>
  </sheetViews>
  <sheetFormatPr defaultRowHeight="15" x14ac:dyDescent="0.25"/>
  <cols>
    <col min="3" max="3" width="12.85546875" bestFit="1" customWidth="1"/>
    <col min="5" max="5" width="15.28515625" bestFit="1" customWidth="1"/>
    <col min="6" max="6" width="12.85546875" bestFit="1" customWidth="1"/>
    <col min="8" max="8" width="16.7109375" bestFit="1" customWidth="1"/>
    <col min="9" max="9" width="12.85546875" bestFit="1" customWidth="1"/>
    <col min="11" max="11" width="27.5703125" bestFit="1" customWidth="1"/>
    <col min="12" max="12" width="12.85546875" bestFit="1" customWidth="1"/>
    <col min="14" max="15" width="12.85546875" bestFit="1" customWidth="1"/>
    <col min="16" max="16" width="16.7109375" bestFit="1" customWidth="1"/>
    <col min="17" max="17" width="12.85546875" bestFit="1" customWidth="1"/>
    <col min="18" max="18" width="30.42578125" customWidth="1"/>
    <col min="19" max="19" width="31.140625" bestFit="1" customWidth="1"/>
    <col min="21" max="21" width="11.28515625" bestFit="1" customWidth="1"/>
    <col min="22" max="22" width="12.85546875" bestFit="1" customWidth="1"/>
    <col min="29" max="29" width="11.28515625" bestFit="1" customWidth="1"/>
  </cols>
  <sheetData>
    <row r="3" spans="2:28" x14ac:dyDescent="0.25">
      <c r="B3" s="1" t="s">
        <v>0</v>
      </c>
      <c r="C3" t="s">
        <v>10</v>
      </c>
      <c r="E3" s="1" t="s">
        <v>2</v>
      </c>
      <c r="F3" t="s">
        <v>10</v>
      </c>
      <c r="H3" s="1" t="s">
        <v>11</v>
      </c>
      <c r="I3" t="s">
        <v>10</v>
      </c>
      <c r="K3" s="1" t="s">
        <v>66</v>
      </c>
      <c r="L3" t="s">
        <v>10</v>
      </c>
      <c r="N3" s="1" t="s">
        <v>85</v>
      </c>
      <c r="O3" t="s">
        <v>10</v>
      </c>
      <c r="Q3" s="1" t="s">
        <v>10</v>
      </c>
      <c r="R3" s="1" t="s">
        <v>0</v>
      </c>
    </row>
    <row r="4" spans="2:28" x14ac:dyDescent="0.25">
      <c r="B4">
        <v>2005</v>
      </c>
      <c r="C4" s="2">
        <v>5355476</v>
      </c>
      <c r="E4" t="s">
        <v>3</v>
      </c>
      <c r="F4" s="2">
        <v>985381</v>
      </c>
      <c r="H4" t="s">
        <v>12</v>
      </c>
      <c r="I4" s="2">
        <v>375484</v>
      </c>
      <c r="K4" t="s">
        <v>67</v>
      </c>
      <c r="L4" s="2">
        <v>53178</v>
      </c>
      <c r="N4" t="s">
        <v>86</v>
      </c>
      <c r="O4" s="2">
        <v>42762482</v>
      </c>
      <c r="Q4" s="1" t="s">
        <v>90</v>
      </c>
      <c r="R4">
        <v>2005</v>
      </c>
      <c r="S4">
        <v>2006</v>
      </c>
      <c r="T4">
        <v>2007</v>
      </c>
      <c r="U4">
        <v>2008</v>
      </c>
      <c r="V4">
        <v>2009</v>
      </c>
      <c r="W4">
        <v>2010</v>
      </c>
      <c r="X4">
        <v>2011</v>
      </c>
      <c r="Y4">
        <v>2012</v>
      </c>
      <c r="Z4">
        <v>2013</v>
      </c>
      <c r="AA4">
        <v>2014</v>
      </c>
      <c r="AB4">
        <v>2015</v>
      </c>
    </row>
    <row r="5" spans="2:28" x14ac:dyDescent="0.25">
      <c r="B5">
        <v>2006</v>
      </c>
      <c r="C5" s="2">
        <v>5015959</v>
      </c>
      <c r="E5" t="s">
        <v>4</v>
      </c>
      <c r="F5" s="2">
        <v>2838896</v>
      </c>
      <c r="H5" t="s">
        <v>13</v>
      </c>
      <c r="I5" s="2">
        <v>15276088</v>
      </c>
      <c r="K5" t="s">
        <v>68</v>
      </c>
      <c r="L5" s="2">
        <v>39236</v>
      </c>
      <c r="N5" t="s">
        <v>87</v>
      </c>
      <c r="O5" s="2">
        <v>15818939</v>
      </c>
      <c r="Q5" t="s">
        <v>91</v>
      </c>
      <c r="R5" s="2">
        <v>1156879</v>
      </c>
      <c r="S5" s="2">
        <v>1009176</v>
      </c>
      <c r="T5" s="2">
        <v>1043455</v>
      </c>
      <c r="U5" s="2">
        <v>1024452</v>
      </c>
      <c r="V5" s="2">
        <v>1067567</v>
      </c>
      <c r="W5" s="2">
        <v>1131563</v>
      </c>
      <c r="X5" s="2">
        <v>1239140</v>
      </c>
      <c r="Y5" s="2">
        <v>1271011</v>
      </c>
      <c r="Z5" s="2">
        <v>1221620</v>
      </c>
      <c r="AA5" s="2">
        <v>1255040</v>
      </c>
      <c r="AB5" s="2">
        <v>1308768</v>
      </c>
    </row>
    <row r="6" spans="2:28" x14ac:dyDescent="0.25">
      <c r="B6">
        <v>2007</v>
      </c>
      <c r="C6" s="2">
        <v>5024461</v>
      </c>
      <c r="E6" t="s">
        <v>5</v>
      </c>
      <c r="F6" s="2">
        <v>503530</v>
      </c>
      <c r="H6" t="s">
        <v>14</v>
      </c>
      <c r="I6" s="2">
        <v>431274</v>
      </c>
      <c r="K6" t="s">
        <v>69</v>
      </c>
      <c r="L6" s="2">
        <v>377679</v>
      </c>
      <c r="N6" t="s">
        <v>88</v>
      </c>
      <c r="O6" s="2">
        <v>505533</v>
      </c>
      <c r="Q6" t="s">
        <v>92</v>
      </c>
      <c r="R6" s="2">
        <v>1185330</v>
      </c>
      <c r="S6" s="2">
        <v>1179807</v>
      </c>
      <c r="T6" s="2">
        <v>1126512</v>
      </c>
      <c r="U6" s="2">
        <v>1150659</v>
      </c>
      <c r="V6" s="2">
        <v>1143417</v>
      </c>
      <c r="W6" s="2">
        <v>1166671</v>
      </c>
      <c r="X6" s="2">
        <v>1287624</v>
      </c>
      <c r="Y6" s="2">
        <v>1351568</v>
      </c>
      <c r="Z6" s="2">
        <v>1406709</v>
      </c>
      <c r="AA6" s="2">
        <v>1069513</v>
      </c>
      <c r="AB6" s="2">
        <v>1406791</v>
      </c>
    </row>
    <row r="7" spans="2:28" x14ac:dyDescent="0.25">
      <c r="B7">
        <v>2008</v>
      </c>
      <c r="C7" s="2">
        <v>5049536</v>
      </c>
      <c r="E7" t="s">
        <v>6</v>
      </c>
      <c r="F7" s="2">
        <v>19315997</v>
      </c>
      <c r="H7" t="s">
        <v>15</v>
      </c>
      <c r="I7" s="2">
        <v>277187</v>
      </c>
      <c r="K7" t="s">
        <v>70</v>
      </c>
      <c r="L7" s="2">
        <v>1734923</v>
      </c>
      <c r="N7" t="s">
        <v>89</v>
      </c>
      <c r="O7" s="2">
        <v>980077</v>
      </c>
      <c r="Q7" t="s">
        <v>93</v>
      </c>
      <c r="R7" s="2">
        <v>1166561</v>
      </c>
      <c r="S7" s="2">
        <v>970035</v>
      </c>
      <c r="T7" s="2">
        <v>1044358</v>
      </c>
      <c r="U7" s="2">
        <v>1085279</v>
      </c>
      <c r="V7" s="2">
        <v>886640</v>
      </c>
      <c r="W7" s="2">
        <v>1027312</v>
      </c>
      <c r="X7" s="2">
        <v>1081368</v>
      </c>
      <c r="Y7" s="2">
        <v>1150506</v>
      </c>
      <c r="Z7" s="2">
        <v>1291457</v>
      </c>
      <c r="AA7" s="2">
        <v>2137681</v>
      </c>
      <c r="AB7" s="2">
        <v>1171054</v>
      </c>
    </row>
    <row r="8" spans="2:28" x14ac:dyDescent="0.25">
      <c r="B8">
        <v>2009</v>
      </c>
      <c r="C8" s="2">
        <v>4802091</v>
      </c>
      <c r="E8" t="s">
        <v>7</v>
      </c>
      <c r="F8" s="2">
        <v>8651903</v>
      </c>
      <c r="H8" t="s">
        <v>16</v>
      </c>
      <c r="I8" s="2">
        <v>368504</v>
      </c>
      <c r="K8" t="s">
        <v>71</v>
      </c>
      <c r="L8" s="2">
        <v>1056075</v>
      </c>
      <c r="N8" t="s">
        <v>1</v>
      </c>
      <c r="O8" s="2">
        <v>60067031</v>
      </c>
      <c r="Q8" t="s">
        <v>94</v>
      </c>
      <c r="R8" s="2">
        <v>1846706</v>
      </c>
      <c r="S8" s="2">
        <v>1856941</v>
      </c>
      <c r="T8" s="2">
        <v>1810136</v>
      </c>
      <c r="U8" s="2">
        <v>1789146</v>
      </c>
      <c r="V8" s="2">
        <v>1704467</v>
      </c>
      <c r="W8" s="2">
        <v>1835693</v>
      </c>
      <c r="X8" s="2">
        <v>1824972</v>
      </c>
      <c r="Y8" s="2">
        <v>1903572</v>
      </c>
      <c r="Z8" s="2">
        <v>1893342</v>
      </c>
      <c r="AA8" s="2">
        <v>1967450</v>
      </c>
      <c r="AB8" s="2">
        <v>2419083</v>
      </c>
    </row>
    <row r="9" spans="2:28" x14ac:dyDescent="0.25">
      <c r="B9">
        <v>2010</v>
      </c>
      <c r="C9" s="2">
        <v>5161239</v>
      </c>
      <c r="E9" t="s">
        <v>8</v>
      </c>
      <c r="F9" s="2">
        <v>530580</v>
      </c>
      <c r="H9" t="s">
        <v>17</v>
      </c>
      <c r="I9" s="2">
        <v>949259</v>
      </c>
      <c r="K9" t="s">
        <v>72</v>
      </c>
      <c r="L9" s="2">
        <v>509845</v>
      </c>
    </row>
    <row r="10" spans="2:28" x14ac:dyDescent="0.25">
      <c r="B10">
        <v>2011</v>
      </c>
      <c r="C10" s="2">
        <v>5433104</v>
      </c>
      <c r="E10" t="s">
        <v>9</v>
      </c>
      <c r="F10" s="2">
        <v>27240744</v>
      </c>
      <c r="H10" t="s">
        <v>18</v>
      </c>
      <c r="I10" s="2">
        <v>745105</v>
      </c>
      <c r="K10" t="s">
        <v>73</v>
      </c>
      <c r="L10" s="2">
        <v>579806</v>
      </c>
    </row>
    <row r="11" spans="2:28" x14ac:dyDescent="0.25">
      <c r="B11">
        <v>2012</v>
      </c>
      <c r="C11" s="2">
        <v>5676657</v>
      </c>
      <c r="E11" t="s">
        <v>1</v>
      </c>
      <c r="F11" s="2">
        <v>60067031</v>
      </c>
      <c r="H11" t="s">
        <v>19</v>
      </c>
      <c r="I11" s="2">
        <v>50562</v>
      </c>
      <c r="K11" t="s">
        <v>74</v>
      </c>
      <c r="L11" s="2">
        <v>377519</v>
      </c>
      <c r="N11" t="s">
        <v>10</v>
      </c>
      <c r="P11" s="1" t="s">
        <v>11</v>
      </c>
      <c r="Q11" t="s">
        <v>95</v>
      </c>
      <c r="U11" s="1" t="s">
        <v>99</v>
      </c>
      <c r="V11" t="s">
        <v>95</v>
      </c>
    </row>
    <row r="12" spans="2:28" x14ac:dyDescent="0.25">
      <c r="B12">
        <v>2013</v>
      </c>
      <c r="C12" s="2">
        <v>5813128</v>
      </c>
      <c r="H12" t="s">
        <v>20</v>
      </c>
      <c r="I12" s="2">
        <v>2597321</v>
      </c>
      <c r="K12" t="s">
        <v>75</v>
      </c>
      <c r="L12" s="2">
        <v>654301</v>
      </c>
      <c r="N12" s="2">
        <v>60067031</v>
      </c>
      <c r="P12" t="s">
        <v>12</v>
      </c>
      <c r="Q12" s="2">
        <v>375484</v>
      </c>
      <c r="S12" s="3" t="s">
        <v>109</v>
      </c>
      <c r="U12" t="s">
        <v>103</v>
      </c>
      <c r="V12" s="2">
        <v>8197018</v>
      </c>
      <c r="X12" t="s">
        <v>110</v>
      </c>
    </row>
    <row r="13" spans="2:28" x14ac:dyDescent="0.25">
      <c r="B13">
        <v>2014</v>
      </c>
      <c r="C13" s="2">
        <v>6429684</v>
      </c>
      <c r="H13" t="s">
        <v>21</v>
      </c>
      <c r="I13" s="2">
        <v>470885</v>
      </c>
      <c r="K13" t="s">
        <v>76</v>
      </c>
      <c r="L13" s="2">
        <v>203429</v>
      </c>
      <c r="P13" t="s">
        <v>13</v>
      </c>
      <c r="Q13" s="2">
        <v>15276088</v>
      </c>
      <c r="S13" t="str" cm="1">
        <f t="array" ref="S13">_xlfn._xlws.FILTER(P12:P65,Q12:Q65=MAX(Q12:Q65))</f>
        <v>Argentina</v>
      </c>
      <c r="U13" t="s">
        <v>102</v>
      </c>
      <c r="V13" s="2">
        <v>6459197</v>
      </c>
      <c r="X13" s="2" t="str" cm="1">
        <f t="array" ref="X13">_xlfn._xlws.FILTER(U12:U23,V12:V23=MAX(V12:V23))</f>
        <v>January</v>
      </c>
    </row>
    <row r="14" spans="2:28" x14ac:dyDescent="0.25">
      <c r="B14">
        <v>2015</v>
      </c>
      <c r="C14" s="2">
        <v>6305696</v>
      </c>
      <c r="H14" t="s">
        <v>22</v>
      </c>
      <c r="I14" s="2">
        <v>989476</v>
      </c>
      <c r="K14" t="s">
        <v>77</v>
      </c>
      <c r="L14" s="2">
        <v>7655743</v>
      </c>
      <c r="P14" t="s">
        <v>14</v>
      </c>
      <c r="Q14" s="2">
        <v>431274</v>
      </c>
      <c r="S14" s="3"/>
      <c r="U14" t="s">
        <v>98</v>
      </c>
      <c r="V14" s="2">
        <v>5653153</v>
      </c>
    </row>
    <row r="15" spans="2:28" x14ac:dyDescent="0.25">
      <c r="B15" t="s">
        <v>1</v>
      </c>
      <c r="C15" s="2">
        <v>60067031</v>
      </c>
      <c r="H15" t="s">
        <v>23</v>
      </c>
      <c r="I15" s="2">
        <v>110203</v>
      </c>
      <c r="K15" t="s">
        <v>78</v>
      </c>
      <c r="L15" s="2">
        <v>854243</v>
      </c>
      <c r="P15" t="s">
        <v>15</v>
      </c>
      <c r="Q15" s="2">
        <v>277187</v>
      </c>
      <c r="S15" s="3"/>
      <c r="U15" t="s">
        <v>97</v>
      </c>
      <c r="V15" s="2">
        <v>4255834</v>
      </c>
    </row>
    <row r="16" spans="2:28" x14ac:dyDescent="0.25">
      <c r="H16" t="s">
        <v>24</v>
      </c>
      <c r="I16" s="2">
        <v>37962</v>
      </c>
      <c r="K16" t="s">
        <v>79</v>
      </c>
      <c r="L16" s="2">
        <v>11480791</v>
      </c>
      <c r="P16" t="s">
        <v>16</v>
      </c>
      <c r="Q16" s="2">
        <v>368504</v>
      </c>
      <c r="U16" t="s">
        <v>96</v>
      </c>
      <c r="V16" s="2">
        <v>3565614</v>
      </c>
    </row>
    <row r="17" spans="8:22" x14ac:dyDescent="0.25">
      <c r="H17" t="s">
        <v>25</v>
      </c>
      <c r="I17" s="2">
        <v>57715</v>
      </c>
      <c r="K17" t="s">
        <v>80</v>
      </c>
      <c r="L17" s="2">
        <v>698786</v>
      </c>
      <c r="P17" t="s">
        <v>17</v>
      </c>
      <c r="Q17" s="2">
        <v>949259</v>
      </c>
      <c r="U17" t="s">
        <v>105</v>
      </c>
      <c r="V17" s="2">
        <v>4160678</v>
      </c>
    </row>
    <row r="18" spans="8:22" x14ac:dyDescent="0.25">
      <c r="H18" t="s">
        <v>26</v>
      </c>
      <c r="I18" s="2">
        <v>253774</v>
      </c>
      <c r="K18" t="s">
        <v>81</v>
      </c>
      <c r="L18" s="2">
        <v>8015055</v>
      </c>
      <c r="P18" t="s">
        <v>18</v>
      </c>
      <c r="Q18" s="2">
        <v>745105</v>
      </c>
      <c r="U18" t="s">
        <v>104</v>
      </c>
      <c r="V18" s="2">
        <v>4729134</v>
      </c>
    </row>
    <row r="19" spans="8:22" x14ac:dyDescent="0.25">
      <c r="H19" t="s">
        <v>27</v>
      </c>
      <c r="I19" s="2">
        <v>298954</v>
      </c>
      <c r="K19" t="s">
        <v>82</v>
      </c>
      <c r="L19" s="2">
        <v>70859</v>
      </c>
      <c r="P19" t="s">
        <v>19</v>
      </c>
      <c r="Q19" s="2">
        <v>50562</v>
      </c>
      <c r="U19" t="s">
        <v>100</v>
      </c>
      <c r="V19" s="2">
        <v>4122439</v>
      </c>
    </row>
    <row r="20" spans="8:22" x14ac:dyDescent="0.25">
      <c r="H20" t="s">
        <v>28</v>
      </c>
      <c r="I20" s="2">
        <v>172541</v>
      </c>
      <c r="K20" t="s">
        <v>83</v>
      </c>
      <c r="L20" s="2">
        <v>1538275</v>
      </c>
      <c r="P20" t="s">
        <v>20</v>
      </c>
      <c r="Q20" s="2">
        <v>2597321</v>
      </c>
      <c r="U20" t="s">
        <v>108</v>
      </c>
      <c r="V20" s="2">
        <v>3585577</v>
      </c>
    </row>
    <row r="21" spans="8:22" x14ac:dyDescent="0.25">
      <c r="H21" t="s">
        <v>29</v>
      </c>
      <c r="I21" s="2">
        <v>2608172</v>
      </c>
      <c r="K21" t="s">
        <v>84</v>
      </c>
      <c r="L21" s="2">
        <v>24167288</v>
      </c>
      <c r="P21" t="s">
        <v>21</v>
      </c>
      <c r="Q21" s="2">
        <v>470885</v>
      </c>
      <c r="U21" t="s">
        <v>107</v>
      </c>
      <c r="V21" s="2">
        <v>4346032</v>
      </c>
    </row>
    <row r="22" spans="8:22" x14ac:dyDescent="0.25">
      <c r="H22" t="s">
        <v>30</v>
      </c>
      <c r="I22" s="2">
        <v>117087</v>
      </c>
      <c r="K22" t="s">
        <v>1</v>
      </c>
      <c r="L22" s="2">
        <v>60067031</v>
      </c>
      <c r="P22" t="s">
        <v>22</v>
      </c>
      <c r="Q22" s="2">
        <v>989476</v>
      </c>
      <c r="U22" t="s">
        <v>106</v>
      </c>
      <c r="V22" s="2">
        <v>4797062</v>
      </c>
    </row>
    <row r="23" spans="8:22" x14ac:dyDescent="0.25">
      <c r="H23" t="s">
        <v>31</v>
      </c>
      <c r="I23" s="2">
        <v>2766737</v>
      </c>
      <c r="P23" t="s">
        <v>23</v>
      </c>
      <c r="Q23" s="2">
        <v>110203</v>
      </c>
      <c r="U23" t="s">
        <v>101</v>
      </c>
      <c r="V23" s="2">
        <v>6195293</v>
      </c>
    </row>
    <row r="24" spans="8:22" x14ac:dyDescent="0.25">
      <c r="H24" t="s">
        <v>32</v>
      </c>
      <c r="I24" s="2">
        <v>97602</v>
      </c>
      <c r="P24" t="s">
        <v>24</v>
      </c>
      <c r="Q24" s="2">
        <v>37962</v>
      </c>
    </row>
    <row r="25" spans="8:22" x14ac:dyDescent="0.25">
      <c r="H25" t="s">
        <v>33</v>
      </c>
      <c r="I25" s="2">
        <v>46919</v>
      </c>
      <c r="P25" t="s">
        <v>25</v>
      </c>
      <c r="Q25" s="2">
        <v>57715</v>
      </c>
    </row>
    <row r="26" spans="8:22" x14ac:dyDescent="0.25">
      <c r="H26" t="s">
        <v>34</v>
      </c>
      <c r="I26" s="2">
        <v>47333</v>
      </c>
      <c r="P26" t="s">
        <v>26</v>
      </c>
      <c r="Q26" s="2">
        <v>253774</v>
      </c>
    </row>
    <row r="27" spans="8:22" x14ac:dyDescent="0.25">
      <c r="H27" t="s">
        <v>35</v>
      </c>
      <c r="I27" s="2">
        <v>76211</v>
      </c>
      <c r="P27" t="s">
        <v>27</v>
      </c>
      <c r="Q27" s="2">
        <v>298954</v>
      </c>
    </row>
    <row r="28" spans="8:22" x14ac:dyDescent="0.25">
      <c r="H28" t="s">
        <v>36</v>
      </c>
      <c r="I28" s="2">
        <v>164925</v>
      </c>
      <c r="P28" t="s">
        <v>28</v>
      </c>
      <c r="Q28" s="2">
        <v>172541</v>
      </c>
    </row>
    <row r="29" spans="8:22" x14ac:dyDescent="0.25">
      <c r="H29" t="s">
        <v>37</v>
      </c>
      <c r="I29" s="2">
        <v>267</v>
      </c>
      <c r="P29" t="s">
        <v>29</v>
      </c>
      <c r="Q29" s="2">
        <v>2608172</v>
      </c>
    </row>
    <row r="30" spans="8:22" x14ac:dyDescent="0.25">
      <c r="H30" t="s">
        <v>38</v>
      </c>
      <c r="I30" s="2">
        <v>191732</v>
      </c>
      <c r="P30" t="s">
        <v>30</v>
      </c>
      <c r="Q30" s="2">
        <v>117087</v>
      </c>
    </row>
    <row r="31" spans="8:22" x14ac:dyDescent="0.25">
      <c r="H31" t="s">
        <v>39</v>
      </c>
      <c r="I31" s="2">
        <v>384231</v>
      </c>
      <c r="P31" t="s">
        <v>31</v>
      </c>
      <c r="Q31" s="2">
        <v>2766737</v>
      </c>
    </row>
    <row r="32" spans="8:22" x14ac:dyDescent="0.25">
      <c r="H32" t="s">
        <v>40</v>
      </c>
      <c r="I32" s="2">
        <v>2748811</v>
      </c>
      <c r="P32" t="s">
        <v>32</v>
      </c>
      <c r="Q32" s="2">
        <v>97602</v>
      </c>
    </row>
    <row r="33" spans="8:17" x14ac:dyDescent="0.25">
      <c r="H33" t="s">
        <v>41</v>
      </c>
      <c r="I33" s="2">
        <v>792064</v>
      </c>
      <c r="P33" t="s">
        <v>33</v>
      </c>
      <c r="Q33" s="2">
        <v>46919</v>
      </c>
    </row>
    <row r="34" spans="8:17" x14ac:dyDescent="0.25">
      <c r="H34" t="s">
        <v>42</v>
      </c>
      <c r="I34" s="2">
        <v>818466</v>
      </c>
      <c r="P34" t="s">
        <v>34</v>
      </c>
      <c r="Q34" s="2">
        <v>47333</v>
      </c>
    </row>
    <row r="35" spans="8:17" x14ac:dyDescent="0.25">
      <c r="H35" t="s">
        <v>43</v>
      </c>
      <c r="I35" s="2">
        <v>876268</v>
      </c>
      <c r="P35" t="s">
        <v>35</v>
      </c>
      <c r="Q35" s="2">
        <v>76211</v>
      </c>
    </row>
    <row r="36" spans="8:17" x14ac:dyDescent="0.25">
      <c r="H36" t="s">
        <v>44</v>
      </c>
      <c r="I36" s="2">
        <v>96857</v>
      </c>
      <c r="P36" t="s">
        <v>36</v>
      </c>
      <c r="Q36" s="2">
        <v>164925</v>
      </c>
    </row>
    <row r="37" spans="8:17" x14ac:dyDescent="0.25">
      <c r="H37" t="s">
        <v>45</v>
      </c>
      <c r="I37" s="2">
        <v>35920</v>
      </c>
      <c r="P37" t="s">
        <v>37</v>
      </c>
      <c r="Q37" s="2">
        <v>267</v>
      </c>
    </row>
    <row r="38" spans="8:17" x14ac:dyDescent="0.25">
      <c r="H38" t="s">
        <v>46</v>
      </c>
      <c r="I38" s="2">
        <v>320350</v>
      </c>
      <c r="P38" t="s">
        <v>38</v>
      </c>
      <c r="Q38" s="2">
        <v>191732</v>
      </c>
    </row>
    <row r="39" spans="8:17" x14ac:dyDescent="0.25">
      <c r="H39" t="s">
        <v>47</v>
      </c>
      <c r="I39" s="2">
        <v>1619881</v>
      </c>
      <c r="P39" t="s">
        <v>39</v>
      </c>
      <c r="Q39" s="2">
        <v>384231</v>
      </c>
    </row>
    <row r="40" spans="8:17" x14ac:dyDescent="0.25">
      <c r="H40" t="s">
        <v>48</v>
      </c>
      <c r="I40" s="2">
        <v>92891</v>
      </c>
      <c r="P40" t="s">
        <v>40</v>
      </c>
      <c r="Q40" s="2">
        <v>2748811</v>
      </c>
    </row>
    <row r="41" spans="8:17" x14ac:dyDescent="0.25">
      <c r="H41" t="s">
        <v>49</v>
      </c>
      <c r="I41" s="2">
        <v>2556167</v>
      </c>
      <c r="P41" t="s">
        <v>41</v>
      </c>
      <c r="Q41" s="2">
        <v>792064</v>
      </c>
    </row>
    <row r="42" spans="8:17" x14ac:dyDescent="0.25">
      <c r="H42" t="s">
        <v>50</v>
      </c>
      <c r="I42" s="2">
        <v>981978</v>
      </c>
      <c r="P42" t="s">
        <v>42</v>
      </c>
      <c r="Q42" s="2">
        <v>818466</v>
      </c>
    </row>
    <row r="43" spans="8:17" x14ac:dyDescent="0.25">
      <c r="H43" t="s">
        <v>51</v>
      </c>
      <c r="I43" s="2">
        <v>205197</v>
      </c>
      <c r="P43" t="s">
        <v>43</v>
      </c>
      <c r="Q43" s="2">
        <v>876268</v>
      </c>
    </row>
    <row r="44" spans="8:17" x14ac:dyDescent="0.25">
      <c r="H44" t="s">
        <v>52</v>
      </c>
      <c r="I44" s="2">
        <v>2385607</v>
      </c>
      <c r="P44" t="s">
        <v>44</v>
      </c>
      <c r="Q44" s="2">
        <v>96857</v>
      </c>
    </row>
    <row r="45" spans="8:17" x14ac:dyDescent="0.25">
      <c r="H45" t="s">
        <v>53</v>
      </c>
      <c r="I45" s="2">
        <v>4405</v>
      </c>
      <c r="P45" t="s">
        <v>45</v>
      </c>
      <c r="Q45" s="2">
        <v>35920</v>
      </c>
    </row>
    <row r="46" spans="8:17" x14ac:dyDescent="0.25">
      <c r="H46" t="s">
        <v>54</v>
      </c>
      <c r="I46" s="2">
        <v>426992</v>
      </c>
      <c r="P46" t="s">
        <v>46</v>
      </c>
      <c r="Q46" s="2">
        <v>320350</v>
      </c>
    </row>
    <row r="47" spans="8:17" x14ac:dyDescent="0.25">
      <c r="H47" t="s">
        <v>55</v>
      </c>
      <c r="I47" s="2">
        <v>175398</v>
      </c>
      <c r="P47" t="s">
        <v>47</v>
      </c>
      <c r="Q47" s="2">
        <v>1619881</v>
      </c>
    </row>
    <row r="48" spans="8:17" x14ac:dyDescent="0.25">
      <c r="H48" t="s">
        <v>56</v>
      </c>
      <c r="I48" s="2">
        <v>1628</v>
      </c>
      <c r="P48" t="s">
        <v>48</v>
      </c>
      <c r="Q48" s="2">
        <v>92891</v>
      </c>
    </row>
    <row r="49" spans="8:17" x14ac:dyDescent="0.25">
      <c r="H49" t="s">
        <v>57</v>
      </c>
      <c r="I49" s="2">
        <v>291880</v>
      </c>
      <c r="P49" t="s">
        <v>49</v>
      </c>
      <c r="Q49" s="2">
        <v>2556167</v>
      </c>
    </row>
    <row r="50" spans="8:17" x14ac:dyDescent="0.25">
      <c r="H50" t="s">
        <v>58</v>
      </c>
      <c r="I50" s="2">
        <v>2016438</v>
      </c>
      <c r="P50" t="s">
        <v>50</v>
      </c>
      <c r="Q50" s="2">
        <v>981978</v>
      </c>
    </row>
    <row r="51" spans="8:17" x14ac:dyDescent="0.25">
      <c r="H51" t="s">
        <v>59</v>
      </c>
      <c r="I51" s="2">
        <v>40089</v>
      </c>
      <c r="P51" t="s">
        <v>51</v>
      </c>
      <c r="Q51" s="2">
        <v>205197</v>
      </c>
    </row>
    <row r="52" spans="8:17" x14ac:dyDescent="0.25">
      <c r="H52" t="s">
        <v>60</v>
      </c>
      <c r="I52" s="2">
        <v>416730</v>
      </c>
      <c r="P52" t="s">
        <v>52</v>
      </c>
      <c r="Q52" s="2">
        <v>2385607</v>
      </c>
    </row>
    <row r="53" spans="8:17" x14ac:dyDescent="0.25">
      <c r="H53" t="s">
        <v>61</v>
      </c>
      <c r="I53" s="2">
        <v>805776</v>
      </c>
      <c r="P53" t="s">
        <v>53</v>
      </c>
      <c r="Q53" s="2">
        <v>4405</v>
      </c>
    </row>
    <row r="54" spans="8:17" x14ac:dyDescent="0.25">
      <c r="H54" t="s">
        <v>62</v>
      </c>
      <c r="I54" s="2">
        <v>1918404</v>
      </c>
      <c r="P54" t="s">
        <v>54</v>
      </c>
      <c r="Q54" s="2">
        <v>426992</v>
      </c>
    </row>
    <row r="55" spans="8:17" x14ac:dyDescent="0.25">
      <c r="H55" t="s">
        <v>63</v>
      </c>
      <c r="I55" s="2">
        <v>7088332</v>
      </c>
      <c r="P55" t="s">
        <v>55</v>
      </c>
      <c r="Q55" s="2">
        <v>175398</v>
      </c>
    </row>
    <row r="56" spans="8:17" x14ac:dyDescent="0.25">
      <c r="H56" t="s">
        <v>64</v>
      </c>
      <c r="I56" s="2">
        <v>2708876</v>
      </c>
      <c r="P56" t="s">
        <v>56</v>
      </c>
      <c r="Q56" s="2">
        <v>1628</v>
      </c>
    </row>
    <row r="57" spans="8:17" x14ac:dyDescent="0.25">
      <c r="H57" t="s">
        <v>65</v>
      </c>
      <c r="I57" s="2">
        <v>678116</v>
      </c>
      <c r="P57" t="s">
        <v>57</v>
      </c>
      <c r="Q57" s="2">
        <v>291880</v>
      </c>
    </row>
    <row r="58" spans="8:17" x14ac:dyDescent="0.25">
      <c r="P58" t="s">
        <v>58</v>
      </c>
      <c r="Q58" s="2">
        <v>2016438</v>
      </c>
    </row>
    <row r="59" spans="8:17" x14ac:dyDescent="0.25">
      <c r="P59" t="s">
        <v>59</v>
      </c>
      <c r="Q59" s="2">
        <v>40089</v>
      </c>
    </row>
    <row r="60" spans="8:17" x14ac:dyDescent="0.25">
      <c r="P60" t="s">
        <v>60</v>
      </c>
      <c r="Q60" s="2">
        <v>416730</v>
      </c>
    </row>
    <row r="61" spans="8:17" x14ac:dyDescent="0.25">
      <c r="P61" t="s">
        <v>61</v>
      </c>
      <c r="Q61" s="2">
        <v>805776</v>
      </c>
    </row>
    <row r="62" spans="8:17" x14ac:dyDescent="0.25">
      <c r="P62" t="s">
        <v>62</v>
      </c>
      <c r="Q62" s="2">
        <v>1918404</v>
      </c>
    </row>
    <row r="63" spans="8:17" x14ac:dyDescent="0.25">
      <c r="P63" t="s">
        <v>63</v>
      </c>
      <c r="Q63" s="2">
        <v>7088332</v>
      </c>
    </row>
    <row r="64" spans="8:17" x14ac:dyDescent="0.25">
      <c r="P64" t="s">
        <v>64</v>
      </c>
      <c r="Q64" s="2">
        <v>2708876</v>
      </c>
    </row>
    <row r="65" spans="16:17" x14ac:dyDescent="0.25">
      <c r="P65" t="s">
        <v>65</v>
      </c>
      <c r="Q65" s="2">
        <v>678116</v>
      </c>
    </row>
  </sheetData>
  <sortState xmlns:xlrd2="http://schemas.microsoft.com/office/spreadsheetml/2017/richdata2" ref="U11:V24">
    <sortCondition ref="U11" customList="January,February,March,April,May,June,July,August,September,October,November,December"/>
  </sortState>
  <pageMargins left="0.7" right="0.7" top="0.75" bottom="0.75" header="0.3" footer="0.3"/>
  <pageSetup orientation="portrait" r:id="rId1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02ACB4C5-853F-4055-88D7-0AF5A85D0C62}">
  <ds:schemaRefs/>
</ds:datastoreItem>
</file>

<file path=customXml/itemProps2.xml><?xml version="1.0" encoding="utf-8"?>
<ds:datastoreItem xmlns:ds="http://schemas.openxmlformats.org/officeDocument/2006/customXml" ds:itemID="{59D61A90-590B-47E0-9684-8D1B857622D9}">
  <ds:schemaRefs/>
</ds:datastoreItem>
</file>

<file path=customXml/itemProps3.xml><?xml version="1.0" encoding="utf-8"?>
<ds:datastoreItem xmlns:ds="http://schemas.openxmlformats.org/officeDocument/2006/customXml" ds:itemID="{CCF0909B-1DEB-4986-A98F-BD64F9EAB289}">
  <ds:schemaRefs/>
</ds:datastoreItem>
</file>

<file path=customXml/itemProps4.xml><?xml version="1.0" encoding="utf-8"?>
<ds:datastoreItem xmlns:ds="http://schemas.openxmlformats.org/officeDocument/2006/customXml" ds:itemID="{6A2A7E9B-7AE2-4324-8476-8ADDDD013531}">
  <ds:schemaRefs/>
</ds:datastoreItem>
</file>

<file path=customXml/itemProps5.xml><?xml version="1.0" encoding="utf-8"?>
<ds:datastoreItem xmlns:ds="http://schemas.openxmlformats.org/officeDocument/2006/customXml" ds:itemID="{3FCD0700-8075-497C-8515-20A4B644CB70}">
  <ds:schemaRefs/>
</ds:datastoreItem>
</file>

<file path=customXml/itemProps6.xml><?xml version="1.0" encoding="utf-8"?>
<ds:datastoreItem xmlns:ds="http://schemas.openxmlformats.org/officeDocument/2006/customXml" ds:itemID="{3DD44FDD-F57A-474F-84AB-C9077A465B65}">
  <ds:schemaRefs/>
</ds:datastoreItem>
</file>

<file path=customXml/itemProps7.xml><?xml version="1.0" encoding="utf-8"?>
<ds:datastoreItem xmlns:ds="http://schemas.openxmlformats.org/officeDocument/2006/customXml" ds:itemID="{DF880F12-6A66-4488-8F6C-11D450AE2526}">
  <ds:schemaRefs/>
</ds:datastoreItem>
</file>

<file path=customXml/itemProps8.xml><?xml version="1.0" encoding="utf-8"?>
<ds:datastoreItem xmlns:ds="http://schemas.openxmlformats.org/officeDocument/2006/customXml" ds:itemID="{71DC98A7-E99C-40B8-87CE-E01CC959CCD9}">
  <ds:schemaRefs/>
</ds:datastoreItem>
</file>

<file path=customXml/itemProps9.xml><?xml version="1.0" encoding="utf-8"?>
<ds:datastoreItem xmlns:ds="http://schemas.openxmlformats.org/officeDocument/2006/customXml" ds:itemID="{210897A6-72D0-4252-A4F1-0EBF21FBF02A}">
  <ds:schemaRefs/>
</ds:datastoreItem>
</file>

<file path=customXml/itemProps10.xml><?xml version="1.0" encoding="utf-8"?>
<ds:datastoreItem xmlns:ds="http://schemas.openxmlformats.org/officeDocument/2006/customXml" ds:itemID="{B026C4B9-43BD-452D-8D06-4D9013F65923}">
  <ds:schemaRefs/>
</ds:datastoreItem>
</file>

<file path=customXml/itemProps11.xml><?xml version="1.0" encoding="utf-8"?>
<ds:datastoreItem xmlns:ds="http://schemas.openxmlformats.org/officeDocument/2006/customXml" ds:itemID="{7125D009-C645-461E-8433-4D5D0B950989}">
  <ds:schemaRefs/>
</ds:datastoreItem>
</file>

<file path=customXml/itemProps12.xml><?xml version="1.0" encoding="utf-8"?>
<ds:datastoreItem xmlns:ds="http://schemas.openxmlformats.org/officeDocument/2006/customXml" ds:itemID="{78B91548-660A-492B-9CE4-3F3A74AF2334}">
  <ds:schemaRefs/>
</ds:datastoreItem>
</file>

<file path=customXml/itemProps13.xml><?xml version="1.0" encoding="utf-8"?>
<ds:datastoreItem xmlns:ds="http://schemas.openxmlformats.org/officeDocument/2006/customXml" ds:itemID="{D89627B3-CE51-46B9-A7DE-48E2536A2C59}">
  <ds:schemaRefs/>
</ds:datastoreItem>
</file>

<file path=customXml/itemProps14.xml><?xml version="1.0" encoding="utf-8"?>
<ds:datastoreItem xmlns:ds="http://schemas.openxmlformats.org/officeDocument/2006/customXml" ds:itemID="{A75B2B53-682E-4E33-A468-23534692ED7D}">
  <ds:schemaRefs/>
</ds:datastoreItem>
</file>

<file path=customXml/itemProps15.xml><?xml version="1.0" encoding="utf-8"?>
<ds:datastoreItem xmlns:ds="http://schemas.openxmlformats.org/officeDocument/2006/customXml" ds:itemID="{67508EA8-2043-48D8-93C8-ABD25C053A0C}">
  <ds:schemaRefs/>
</ds:datastoreItem>
</file>

<file path=customXml/itemProps16.xml><?xml version="1.0" encoding="utf-8"?>
<ds:datastoreItem xmlns:ds="http://schemas.openxmlformats.org/officeDocument/2006/customXml" ds:itemID="{6568B788-7CB6-41C7-97F2-BD039F825473}">
  <ds:schemaRefs/>
</ds:datastoreItem>
</file>

<file path=customXml/itemProps17.xml><?xml version="1.0" encoding="utf-8"?>
<ds:datastoreItem xmlns:ds="http://schemas.openxmlformats.org/officeDocument/2006/customXml" ds:itemID="{9CB9E416-78B1-4C50-B41E-58D5E3E5C5A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Preparations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Kuldeep Kumar Sharma</dc:creator>
  <cp:lastModifiedBy>Kuldeep Kumar Sharma</cp:lastModifiedBy>
  <dcterms:created xsi:type="dcterms:W3CDTF">2025-08-23T07:32:05Z</dcterms:created>
  <dcterms:modified xsi:type="dcterms:W3CDTF">2025-08-23T13:14:21Z</dcterms:modified>
</cp:coreProperties>
</file>